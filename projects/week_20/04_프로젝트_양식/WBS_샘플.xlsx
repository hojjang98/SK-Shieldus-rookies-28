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6"/>
  <workbookPr/>
  <mc:AlternateContent xmlns:mc="http://schemas.openxmlformats.org/markup-compatibility/2006">
    <mc:Choice Requires="x15">
      <x15ac:absPath xmlns:x15ac="http://schemas.microsoft.com/office/spreadsheetml/2010/11/ac" url="/Users/takgyun/Downloads/"/>
    </mc:Choice>
  </mc:AlternateContent>
  <xr:revisionPtr revIDLastSave="0" documentId="13_ncr:1_{95C4E910-72B8-C042-B034-345C6036377B}" xr6:coauthVersionLast="47" xr6:coauthVersionMax="47" xr10:uidLastSave="{00000000-0000-0000-0000-000000000000}"/>
  <bookViews>
    <workbookView xWindow="0" yWindow="760" windowWidth="28800" windowHeight="12340" activeTab="1" xr2:uid="{00000000-000D-0000-FFFF-FFFF00000000}"/>
  </bookViews>
  <sheets>
    <sheet name="표지" sheetId="2" r:id="rId1"/>
    <sheet name="WB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H84" i="1" l="1"/>
  <c r="H74" i="1" l="1"/>
  <c r="H62" i="1"/>
  <c r="H55" i="1" l="1"/>
  <c r="H21" i="1"/>
  <c r="H16" i="1"/>
  <c r="H48" i="1"/>
  <c r="H41" i="1"/>
  <c r="H27" i="1"/>
</calcChain>
</file>

<file path=xl/sharedStrings.xml><?xml version="1.0" encoding="utf-8"?>
<sst xmlns="http://schemas.openxmlformats.org/spreadsheetml/2006/main" count="355" uniqueCount="217">
  <si>
    <t>구분</t>
    <phoneticPr fontId="1" type="noConversion"/>
  </si>
  <si>
    <t>인력</t>
    <phoneticPr fontId="1" type="noConversion"/>
  </si>
  <si>
    <t>R&amp;R</t>
    <phoneticPr fontId="1" type="noConversion"/>
  </si>
  <si>
    <t>수행원</t>
    <phoneticPr fontId="1" type="noConversion"/>
  </si>
  <si>
    <t>합계</t>
    <phoneticPr fontId="1" type="noConversion"/>
  </si>
  <si>
    <t>단계</t>
    <phoneticPr fontId="1" type="noConversion"/>
  </si>
  <si>
    <t>업무</t>
    <phoneticPr fontId="1" type="noConversion"/>
  </si>
  <si>
    <t>산출물</t>
    <phoneticPr fontId="1" type="noConversion"/>
  </si>
  <si>
    <t>방법</t>
    <phoneticPr fontId="1" type="noConversion"/>
  </si>
  <si>
    <t>수행인력</t>
    <phoneticPr fontId="1" type="noConversion"/>
  </si>
  <si>
    <t>1.1 환경 분석</t>
    <phoneticPr fontId="1" type="noConversion"/>
  </si>
  <si>
    <t xml:space="preserve"> 1.1.1 진단대상 정의</t>
    <phoneticPr fontId="1" type="noConversion"/>
  </si>
  <si>
    <t>1.2 진단 항목 분석</t>
    <phoneticPr fontId="1" type="noConversion"/>
  </si>
  <si>
    <t>1. 현황분석</t>
    <phoneticPr fontId="1" type="noConversion"/>
  </si>
  <si>
    <t>2. 취약점 진단</t>
    <phoneticPr fontId="1" type="noConversion"/>
  </si>
  <si>
    <t>4. 종합 보고서 작성</t>
    <phoneticPr fontId="1" type="noConversion"/>
  </si>
  <si>
    <t>3. 취약점 보완 조치 
이행 및 점검</t>
    <phoneticPr fontId="1" type="noConversion"/>
  </si>
  <si>
    <t>자료분석</t>
    <phoneticPr fontId="1" type="noConversion"/>
  </si>
  <si>
    <t>자료작성</t>
    <phoneticPr fontId="1" type="noConversion"/>
  </si>
  <si>
    <t>자료분석</t>
    <phoneticPr fontId="1" type="noConversion"/>
  </si>
  <si>
    <t>진단</t>
    <phoneticPr fontId="1" type="noConversion"/>
  </si>
  <si>
    <t>4.1 중간 발표 자료 제작</t>
    <phoneticPr fontId="1" type="noConversion"/>
  </si>
  <si>
    <t>중간 발표 PPT</t>
    <phoneticPr fontId="1" type="noConversion"/>
  </si>
  <si>
    <t>3W</t>
    <phoneticPr fontId="1" type="noConversion"/>
  </si>
  <si>
    <t>4W</t>
    <phoneticPr fontId="1" type="noConversion"/>
  </si>
  <si>
    <t>2W</t>
    <phoneticPr fontId="1" type="noConversion"/>
  </si>
  <si>
    <t>프로젝트</t>
    <phoneticPr fontId="1" type="noConversion"/>
  </si>
  <si>
    <t>팀명</t>
    <phoneticPr fontId="1" type="noConversion"/>
  </si>
  <si>
    <t>12.20~02.13</t>
    <phoneticPr fontId="1" type="noConversion"/>
  </si>
  <si>
    <t>1W</t>
    <phoneticPr fontId="1" type="noConversion"/>
  </si>
  <si>
    <t>5W</t>
    <phoneticPr fontId="1" type="noConversion"/>
  </si>
  <si>
    <t>6W</t>
    <phoneticPr fontId="1" type="noConversion"/>
  </si>
  <si>
    <t>7W</t>
    <phoneticPr fontId="1" type="noConversion"/>
  </si>
  <si>
    <t>8W</t>
    <phoneticPr fontId="1" type="noConversion"/>
  </si>
  <si>
    <t xml:space="preserve"> 1.2.1 진단항목 확인 및 반영</t>
    <phoneticPr fontId="1" type="noConversion"/>
  </si>
  <si>
    <t xml:space="preserve"> 1.2.2 인프라 진단 수행계획 수립</t>
    <phoneticPr fontId="1" type="noConversion"/>
  </si>
  <si>
    <t xml:space="preserve"> 1.2.4 클라우드 진단 수행계획 수립</t>
    <phoneticPr fontId="1" type="noConversion"/>
  </si>
  <si>
    <t xml:space="preserve"> 1.2.5 모바일 진단 수행계획 수립</t>
    <phoneticPr fontId="1" type="noConversion"/>
  </si>
  <si>
    <t>자료작성</t>
    <phoneticPr fontId="1" type="noConversion"/>
  </si>
  <si>
    <t>자료작성</t>
    <phoneticPr fontId="1" type="noConversion"/>
  </si>
  <si>
    <t>리뷰</t>
    <phoneticPr fontId="1" type="noConversion"/>
  </si>
  <si>
    <t>수행 기간</t>
    <phoneticPr fontId="1" type="noConversion"/>
  </si>
  <si>
    <t>22.12.22</t>
    <phoneticPr fontId="1" type="noConversion"/>
  </si>
  <si>
    <t>시작일</t>
    <phoneticPr fontId="1" type="noConversion"/>
  </si>
  <si>
    <t>종료일</t>
    <phoneticPr fontId="1" type="noConversion"/>
  </si>
  <si>
    <t>22.12.20</t>
    <phoneticPr fontId="1" type="noConversion"/>
  </si>
  <si>
    <t>22.12.21</t>
    <phoneticPr fontId="1" type="noConversion"/>
  </si>
  <si>
    <t>22.12.20</t>
    <phoneticPr fontId="1" type="noConversion"/>
  </si>
  <si>
    <t>22.12.21</t>
    <phoneticPr fontId="1" type="noConversion"/>
  </si>
  <si>
    <t>22.12.20</t>
    <phoneticPr fontId="1" type="noConversion"/>
  </si>
  <si>
    <t>22.12.26</t>
    <phoneticPr fontId="1" type="noConversion"/>
  </si>
  <si>
    <t>23.01.17</t>
    <phoneticPr fontId="1" type="noConversion"/>
  </si>
  <si>
    <t xml:space="preserve"> 2.1.1 진단범위 및 방법 수립</t>
    <phoneticPr fontId="1" type="noConversion"/>
  </si>
  <si>
    <t xml:space="preserve"> 2.2.1 진단범위 및 방법 수립</t>
    <phoneticPr fontId="1" type="noConversion"/>
  </si>
  <si>
    <t>M/M</t>
    <phoneticPr fontId="1" type="noConversion"/>
  </si>
  <si>
    <t>직급</t>
    <phoneticPr fontId="1" type="noConversion"/>
  </si>
  <si>
    <t>진행률</t>
    <phoneticPr fontId="1" type="noConversion"/>
  </si>
  <si>
    <t>2.1 인프라 취약점 진단</t>
    <phoneticPr fontId="1" type="noConversion"/>
  </si>
  <si>
    <t>2.4 모바일 취약점 진단</t>
    <phoneticPr fontId="1" type="noConversion"/>
  </si>
  <si>
    <t>2.2 클라우드 취약점 진단</t>
    <phoneticPr fontId="1" type="noConversion"/>
  </si>
  <si>
    <t>22.12.22</t>
    <phoneticPr fontId="1" type="noConversion"/>
  </si>
  <si>
    <t xml:space="preserve"> 2.1.2 OS 취약점 진단</t>
    <phoneticPr fontId="1" type="noConversion"/>
  </si>
  <si>
    <t xml:space="preserve"> 2.1.3 DBMS 취약점 진단</t>
    <phoneticPr fontId="1" type="noConversion"/>
  </si>
  <si>
    <t xml:space="preserve"> 2.1.4 WAS 취약점 진단</t>
    <phoneticPr fontId="1" type="noConversion"/>
  </si>
  <si>
    <t>자료작성</t>
    <phoneticPr fontId="1" type="noConversion"/>
  </si>
  <si>
    <t>진단</t>
    <phoneticPr fontId="1" type="noConversion"/>
  </si>
  <si>
    <t>리뷰</t>
    <phoneticPr fontId="1" type="noConversion"/>
  </si>
  <si>
    <t xml:space="preserve"> 2.3.1 진단범위 및 방법 수립</t>
    <phoneticPr fontId="1" type="noConversion"/>
  </si>
  <si>
    <t>22.12.26</t>
    <phoneticPr fontId="1" type="noConversion"/>
  </si>
  <si>
    <t>22.12.26</t>
    <phoneticPr fontId="1" type="noConversion"/>
  </si>
  <si>
    <t>22.12.28</t>
    <phoneticPr fontId="1" type="noConversion"/>
  </si>
  <si>
    <t>22.12.27</t>
    <phoneticPr fontId="1" type="noConversion"/>
  </si>
  <si>
    <t>23.01.10</t>
    <phoneticPr fontId="1" type="noConversion"/>
  </si>
  <si>
    <t>23.01.07</t>
    <phoneticPr fontId="1" type="noConversion"/>
  </si>
  <si>
    <t>23.02.03</t>
    <phoneticPr fontId="1" type="noConversion"/>
  </si>
  <si>
    <t>자료작성</t>
    <phoneticPr fontId="1" type="noConversion"/>
  </si>
  <si>
    <t xml:space="preserve"> 2.4.1 진단범위 및 방법 수립</t>
    <phoneticPr fontId="1" type="noConversion"/>
  </si>
  <si>
    <t xml:space="preserve"> 2.1.8 진단결과 리뷰</t>
    <phoneticPr fontId="1" type="noConversion"/>
  </si>
  <si>
    <t xml:space="preserve"> 2.2.2 진단 </t>
    <phoneticPr fontId="1" type="noConversion"/>
  </si>
  <si>
    <t xml:space="preserve"> 2.2.5 진단결과 리뷰</t>
    <phoneticPr fontId="1" type="noConversion"/>
  </si>
  <si>
    <t xml:space="preserve"> 2.3.2 진단</t>
    <phoneticPr fontId="1" type="noConversion"/>
  </si>
  <si>
    <t xml:space="preserve"> 1.1.2 진단일정 수립</t>
    <phoneticPr fontId="1" type="noConversion"/>
  </si>
  <si>
    <t xml:space="preserve"> 1.1.3 클라우드 사용계획서 작성</t>
    <phoneticPr fontId="1" type="noConversion"/>
  </si>
  <si>
    <t>일정수립</t>
    <phoneticPr fontId="1" type="noConversion"/>
  </si>
  <si>
    <t>22.12.20</t>
    <phoneticPr fontId="1" type="noConversion"/>
  </si>
  <si>
    <t>22.12.21</t>
    <phoneticPr fontId="1" type="noConversion"/>
  </si>
  <si>
    <t xml:space="preserve"> 2.3.5 진단결과 리뷰</t>
    <phoneticPr fontId="1" type="noConversion"/>
  </si>
  <si>
    <t xml:space="preserve"> 2.4.2 진단</t>
    <phoneticPr fontId="1" type="noConversion"/>
  </si>
  <si>
    <t xml:space="preserve"> 2.4.5 진단결과 리뷰</t>
    <phoneticPr fontId="1" type="noConversion"/>
  </si>
  <si>
    <t>자료작성</t>
    <phoneticPr fontId="1" type="noConversion"/>
  </si>
  <si>
    <t>22.12.30</t>
    <phoneticPr fontId="1" type="noConversion"/>
  </si>
  <si>
    <t>22.12.27</t>
    <phoneticPr fontId="1" type="noConversion"/>
  </si>
  <si>
    <t>22.12.30</t>
    <phoneticPr fontId="1" type="noConversion"/>
  </si>
  <si>
    <t>22.12.28</t>
    <phoneticPr fontId="1" type="noConversion"/>
  </si>
  <si>
    <t>22.12.30</t>
    <phoneticPr fontId="1" type="noConversion"/>
  </si>
  <si>
    <t>23.01.05</t>
    <phoneticPr fontId="1" type="noConversion"/>
  </si>
  <si>
    <t xml:space="preserve"> </t>
    <phoneticPr fontId="1" type="noConversion"/>
  </si>
  <si>
    <t>23.01.07</t>
    <phoneticPr fontId="1" type="noConversion"/>
  </si>
  <si>
    <t>23.01.07</t>
    <phoneticPr fontId="1" type="noConversion"/>
  </si>
  <si>
    <t>23.01.06</t>
    <phoneticPr fontId="1" type="noConversion"/>
  </si>
  <si>
    <t>23.01.04</t>
    <phoneticPr fontId="1" type="noConversion"/>
  </si>
  <si>
    <t>23.01.04</t>
    <phoneticPr fontId="1" type="noConversion"/>
  </si>
  <si>
    <t>23.01.05</t>
    <phoneticPr fontId="1" type="noConversion"/>
  </si>
  <si>
    <t>23.01.04</t>
    <phoneticPr fontId="1" type="noConversion"/>
  </si>
  <si>
    <t>23.01.16</t>
    <phoneticPr fontId="1" type="noConversion"/>
  </si>
  <si>
    <t>23.01.10</t>
    <phoneticPr fontId="1" type="noConversion"/>
  </si>
  <si>
    <t>23.01.10</t>
    <phoneticPr fontId="1" type="noConversion"/>
  </si>
  <si>
    <t>23.01.07</t>
    <phoneticPr fontId="1" type="noConversion"/>
  </si>
  <si>
    <t>23.01.10</t>
    <phoneticPr fontId="1" type="noConversion"/>
  </si>
  <si>
    <t>23.01.10</t>
    <phoneticPr fontId="1" type="noConversion"/>
  </si>
  <si>
    <t>23.01.10</t>
    <phoneticPr fontId="1" type="noConversion"/>
  </si>
  <si>
    <t>23.01.11</t>
    <phoneticPr fontId="1" type="noConversion"/>
  </si>
  <si>
    <t>23.01.11</t>
    <phoneticPr fontId="1" type="noConversion"/>
  </si>
  <si>
    <t>23.01.13</t>
    <phoneticPr fontId="1" type="noConversion"/>
  </si>
  <si>
    <t>23.01.17</t>
    <phoneticPr fontId="1" type="noConversion"/>
  </si>
  <si>
    <t>23.01.11</t>
    <phoneticPr fontId="1" type="noConversion"/>
  </si>
  <si>
    <t>23.01.11</t>
    <phoneticPr fontId="1" type="noConversion"/>
  </si>
  <si>
    <t>23.01.16</t>
    <phoneticPr fontId="1" type="noConversion"/>
  </si>
  <si>
    <t>23.01.16</t>
    <phoneticPr fontId="1" type="noConversion"/>
  </si>
  <si>
    <t>22.12.20~23.02.13</t>
    <phoneticPr fontId="1" type="noConversion"/>
  </si>
  <si>
    <t>3.1 인프라 취약점 조치 이행 및 점검</t>
    <phoneticPr fontId="1" type="noConversion"/>
  </si>
  <si>
    <t>2.3 WEB/API 취약점 진단</t>
    <phoneticPr fontId="1" type="noConversion"/>
  </si>
  <si>
    <t xml:space="preserve"> 2.1.5 WEB 취약점 진단 </t>
    <phoneticPr fontId="1" type="noConversion"/>
  </si>
  <si>
    <t>클라우드 최초 진단 결과 보고서</t>
    <phoneticPr fontId="1" type="noConversion"/>
  </si>
  <si>
    <t>OS 최초 진단 결과 보고서</t>
    <phoneticPr fontId="1" type="noConversion"/>
  </si>
  <si>
    <t>DBMS 최초 진단 결과 보고서</t>
    <phoneticPr fontId="1" type="noConversion"/>
  </si>
  <si>
    <t>WAS 최초 진단 결과 보고서</t>
    <phoneticPr fontId="1" type="noConversion"/>
  </si>
  <si>
    <t>WEB 최초 진단 결과 보고서</t>
    <phoneticPr fontId="1" type="noConversion"/>
  </si>
  <si>
    <t>WEB/API 최초 진단 결과 보고서</t>
    <phoneticPr fontId="1" type="noConversion"/>
  </si>
  <si>
    <t>모바일 최초 진단 결과 보고서</t>
    <phoneticPr fontId="1" type="noConversion"/>
  </si>
  <si>
    <t>인프라 취약점진단 수행계획서</t>
    <phoneticPr fontId="1" type="noConversion"/>
  </si>
  <si>
    <t>WEB/API 취약점진단 수행계획서</t>
    <phoneticPr fontId="1" type="noConversion"/>
  </si>
  <si>
    <t xml:space="preserve"> 1.2.3 WEB/API 진단 수행계획 수립</t>
    <phoneticPr fontId="1" type="noConversion"/>
  </si>
  <si>
    <t>클라우드 취약점진단 수행계획서</t>
    <phoneticPr fontId="1" type="noConversion"/>
  </si>
  <si>
    <t>모바일 취약점진단 수행계획서</t>
    <phoneticPr fontId="1" type="noConversion"/>
  </si>
  <si>
    <t>OS 이행점검 결과 보고서</t>
    <phoneticPr fontId="1" type="noConversion"/>
  </si>
  <si>
    <t>DBMS 이행점검 결과 보고서</t>
    <phoneticPr fontId="1" type="noConversion"/>
  </si>
  <si>
    <t>WAS 이행점검 결과 보고서</t>
    <phoneticPr fontId="1" type="noConversion"/>
  </si>
  <si>
    <t>WEB 이행점검 결과 보고서</t>
    <phoneticPr fontId="1" type="noConversion"/>
  </si>
  <si>
    <t>자료작성</t>
    <phoneticPr fontId="1" type="noConversion"/>
  </si>
  <si>
    <t>자료작성</t>
    <phoneticPr fontId="1" type="noConversion"/>
  </si>
  <si>
    <t xml:space="preserve"> 2.2.6 최초 진단 보고서 작성(최종)</t>
    <phoneticPr fontId="1" type="noConversion"/>
  </si>
  <si>
    <t xml:space="preserve"> 2.3.6 최초 진단 보고서 작성(최종)</t>
    <phoneticPr fontId="1" type="noConversion"/>
  </si>
  <si>
    <t xml:space="preserve"> 2.2.3 최초 진단 보고서 작성(개인)</t>
    <phoneticPr fontId="1" type="noConversion"/>
  </si>
  <si>
    <t xml:space="preserve"> 2.1.6 최초 진단 보고서 작성(개인)</t>
    <phoneticPr fontId="1" type="noConversion"/>
  </si>
  <si>
    <t xml:space="preserve"> 2.1.7 최초 진단 보고서 취합</t>
    <phoneticPr fontId="1" type="noConversion"/>
  </si>
  <si>
    <t xml:space="preserve">  2.1.9.1 OS 최초 진단 보고서 작성</t>
    <phoneticPr fontId="1" type="noConversion"/>
  </si>
  <si>
    <t xml:space="preserve">  2.1.9.2 DBMS 최초 진단 보고서 작성</t>
    <phoneticPr fontId="1" type="noConversion"/>
  </si>
  <si>
    <t xml:space="preserve">  2.1.9.3 WAS 최초 진단 보고서 작성</t>
    <phoneticPr fontId="1" type="noConversion"/>
  </si>
  <si>
    <t xml:space="preserve">  2.1.9.4 WEB 최초 진단 보고서 작성</t>
    <phoneticPr fontId="1" type="noConversion"/>
  </si>
  <si>
    <t xml:space="preserve"> 2.2.4 최초 진단 보고서 취합</t>
    <phoneticPr fontId="1" type="noConversion"/>
  </si>
  <si>
    <t xml:space="preserve"> 2.3.3 최초 진단 보고서 작성(개인)</t>
    <phoneticPr fontId="1" type="noConversion"/>
  </si>
  <si>
    <t xml:space="preserve"> 2.3.4 최초 진단 보고서 취합</t>
    <phoneticPr fontId="1" type="noConversion"/>
  </si>
  <si>
    <t xml:space="preserve"> 2.4.3 최초 진단 보고서 작성(개인)</t>
    <phoneticPr fontId="1" type="noConversion"/>
  </si>
  <si>
    <t xml:space="preserve"> 2.4.4 최초 진단 보고서 취합</t>
    <phoneticPr fontId="1" type="noConversion"/>
  </si>
  <si>
    <t xml:space="preserve"> 2.4.6 최초 진단 보고서 작성(최종)</t>
    <phoneticPr fontId="1" type="noConversion"/>
  </si>
  <si>
    <t xml:space="preserve"> 3.1.2 DBMS 취약점 조치 이행</t>
    <phoneticPr fontId="1" type="noConversion"/>
  </si>
  <si>
    <t xml:space="preserve"> 3.1.1 OS 취약점 조치 이행</t>
    <phoneticPr fontId="1" type="noConversion"/>
  </si>
  <si>
    <t xml:space="preserve"> 3.1.4 WEB 취약점 조치 이행</t>
    <phoneticPr fontId="1" type="noConversion"/>
  </si>
  <si>
    <t xml:space="preserve"> 3.1.3 WAS 취약점 조치 이행</t>
    <phoneticPr fontId="1" type="noConversion"/>
  </si>
  <si>
    <t>3.2 클라우드 취약점 조치 이행 및 점검</t>
    <phoneticPr fontId="1" type="noConversion"/>
  </si>
  <si>
    <t>클라우드 이행점검 결과 보고서</t>
    <phoneticPr fontId="1" type="noConversion"/>
  </si>
  <si>
    <t>모바일 이행점검 결과 보고서</t>
    <phoneticPr fontId="1" type="noConversion"/>
  </si>
  <si>
    <t xml:space="preserve"> 3.1.6 이행점검 결과 리뷰</t>
    <phoneticPr fontId="1" type="noConversion"/>
  </si>
  <si>
    <t xml:space="preserve"> 3.1.7 이행점검 결과 보고서 작성(최종)</t>
    <phoneticPr fontId="1" type="noConversion"/>
  </si>
  <si>
    <t xml:space="preserve"> 2.1.9 최초 진단 결과 보고서 작성(최종)</t>
    <phoneticPr fontId="1" type="noConversion"/>
  </si>
  <si>
    <t xml:space="preserve">  3.1.7.1 OS 이행점검 결과 보고서 작성</t>
    <phoneticPr fontId="1" type="noConversion"/>
  </si>
  <si>
    <t xml:space="preserve">  3.1.7.2 DBMS 이행점검 결과 보고서 작성</t>
    <phoneticPr fontId="1" type="noConversion"/>
  </si>
  <si>
    <t xml:space="preserve">  3.1.7.3 WAS 이행점검 결과 보고서 작성</t>
    <phoneticPr fontId="1" type="noConversion"/>
  </si>
  <si>
    <t xml:space="preserve">  3.1.7.4 WEB 이행점검 결과 보고서 작성</t>
    <phoneticPr fontId="1" type="noConversion"/>
  </si>
  <si>
    <t>리뷰</t>
    <phoneticPr fontId="1" type="noConversion"/>
  </si>
  <si>
    <t xml:space="preserve"> 3.2.1 조치 이행</t>
    <phoneticPr fontId="1" type="noConversion"/>
  </si>
  <si>
    <t xml:space="preserve"> 3.1.5 이행점검 결과 보고서 작성</t>
    <phoneticPr fontId="1" type="noConversion"/>
  </si>
  <si>
    <t xml:space="preserve"> 3.2.2 이행점검 결과 보고서 작성</t>
    <phoneticPr fontId="1" type="noConversion"/>
  </si>
  <si>
    <t xml:space="preserve"> 3.2.3 이행점검 결과 리뷰</t>
    <phoneticPr fontId="1" type="noConversion"/>
  </si>
  <si>
    <t>3.3 WEB/API 취약점 조치 이행 및 점검</t>
    <phoneticPr fontId="1" type="noConversion"/>
  </si>
  <si>
    <t>조치이행</t>
    <phoneticPr fontId="1" type="noConversion"/>
  </si>
  <si>
    <t>조치이행</t>
    <phoneticPr fontId="1" type="noConversion"/>
  </si>
  <si>
    <t xml:space="preserve"> 3.3.1 조치 이행</t>
    <phoneticPr fontId="1" type="noConversion"/>
  </si>
  <si>
    <t xml:space="preserve"> 3.3.2 이행점검 결과 보고서 작성</t>
    <phoneticPr fontId="1" type="noConversion"/>
  </si>
  <si>
    <t xml:space="preserve"> 3.3.3 이행점검 결과 리뷰</t>
    <phoneticPr fontId="1" type="noConversion"/>
  </si>
  <si>
    <t xml:space="preserve"> 3.2.4 이행점검 결과 보고서 작성(최종)</t>
    <phoneticPr fontId="1" type="noConversion"/>
  </si>
  <si>
    <t xml:space="preserve"> 3.3.4 이행점검 결과 보고서 작성(최종)</t>
    <phoneticPr fontId="1" type="noConversion"/>
  </si>
  <si>
    <t>3.4 모바일 취약점 조치 이행 및 점검</t>
    <phoneticPr fontId="1" type="noConversion"/>
  </si>
  <si>
    <t xml:space="preserve"> 3.4.1 조치 이행</t>
    <phoneticPr fontId="1" type="noConversion"/>
  </si>
  <si>
    <t xml:space="preserve"> 3.4.2 이행점검 결과 보고서 작성</t>
    <phoneticPr fontId="1" type="noConversion"/>
  </si>
  <si>
    <t xml:space="preserve"> 3.4.3 이행점검 결과 리뷰</t>
    <phoneticPr fontId="1" type="noConversion"/>
  </si>
  <si>
    <t xml:space="preserve"> 3.4.4 이행점검 결과 보고서 작성(최종)</t>
    <phoneticPr fontId="1" type="noConversion"/>
  </si>
  <si>
    <t>WEB/API 이행점검 결과 보고서</t>
    <phoneticPr fontId="1" type="noConversion"/>
  </si>
  <si>
    <t>조치이행</t>
    <phoneticPr fontId="1" type="noConversion"/>
  </si>
  <si>
    <t>리뷰</t>
    <phoneticPr fontId="1" type="noConversion"/>
  </si>
  <si>
    <t>조치이행</t>
    <phoneticPr fontId="1" type="noConversion"/>
  </si>
  <si>
    <t>리뷰</t>
    <phoneticPr fontId="1" type="noConversion"/>
  </si>
  <si>
    <t>23.01.18</t>
    <phoneticPr fontId="1" type="noConversion"/>
  </si>
  <si>
    <t>23.01.17</t>
    <phoneticPr fontId="1" type="noConversion"/>
  </si>
  <si>
    <t>23.01.18</t>
    <phoneticPr fontId="1" type="noConversion"/>
  </si>
  <si>
    <t>23.02.09</t>
    <phoneticPr fontId="1" type="noConversion"/>
  </si>
  <si>
    <t>최종 발표 PPT</t>
    <phoneticPr fontId="1" type="noConversion"/>
  </si>
  <si>
    <t>4.2 최종 발표 자료 제작</t>
    <phoneticPr fontId="1" type="noConversion"/>
  </si>
  <si>
    <t>23.01.17</t>
    <phoneticPr fontId="1" type="noConversion"/>
  </si>
  <si>
    <t>23.01.27</t>
    <phoneticPr fontId="1" type="noConversion"/>
  </si>
  <si>
    <t>23.01.18</t>
    <phoneticPr fontId="1" type="noConversion"/>
  </si>
  <si>
    <t>23.01.18</t>
    <phoneticPr fontId="1" type="noConversion"/>
  </si>
  <si>
    <t>23.02.04</t>
    <phoneticPr fontId="1" type="noConversion"/>
  </si>
  <si>
    <t>23.01.31</t>
    <phoneticPr fontId="1" type="noConversion"/>
  </si>
  <si>
    <t>23.02.04</t>
    <phoneticPr fontId="1" type="noConversion"/>
  </si>
  <si>
    <t>23.02.01</t>
    <phoneticPr fontId="1" type="noConversion"/>
  </si>
  <si>
    <t>23.02.01</t>
    <phoneticPr fontId="1" type="noConversion"/>
  </si>
  <si>
    <t>23.01.18</t>
    <phoneticPr fontId="1" type="noConversion"/>
  </si>
  <si>
    <t>23.01.31</t>
    <phoneticPr fontId="1" type="noConversion"/>
  </si>
  <si>
    <t>23.02.01</t>
    <phoneticPr fontId="1" type="noConversion"/>
  </si>
  <si>
    <t>23.02.04</t>
    <phoneticPr fontId="1" type="noConversion"/>
  </si>
  <si>
    <t>v.4.2</t>
    <phoneticPr fontId="1" type="noConversion"/>
  </si>
  <si>
    <t xml:space="preserve"> 1.1.2 요구사항 정의서 작성</t>
    <phoneticPr fontId="1" type="noConversion"/>
  </si>
  <si>
    <t>WBS, 요구사항 정의서, 클라우드 사용 계획서</t>
    <phoneticPr fontId="1" type="noConversion"/>
  </si>
  <si>
    <r>
      <rPr>
        <b/>
        <sz val="36"/>
        <color theme="1"/>
        <rFont val="맑은 고딕"/>
        <family val="3"/>
        <charset val="129"/>
        <scheme val="minor"/>
      </rPr>
      <t>수행 일정 계획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2025. 07. 21. ~ 2025. 09. 23
</t>
    </r>
    <phoneticPr fontId="1" type="noConversion"/>
  </si>
  <si>
    <t>일정계획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</si>
</sst>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0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>
      <alignment vertical="center"/>
    </xf>
    <xf numFmtId="9" fontId="12" fillId="0" borderId="0" applyFont="0" applyFill="0" applyBorder="0" applyAlignment="0" applyProtection="0">
      <alignment vertical="center"/>
    </xf>
  </cellStyleXfs>
  <cellXfs count="18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3" xfId="0" applyBorder="1" applyAlignment="1">
      <alignment horizontal="left" vertical="center"/>
    </xf>
    <xf numFmtId="0" fontId="0" fillId="0" borderId="38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55" xfId="0" applyFont="1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2" fillId="5" borderId="29" xfId="0" applyFont="1" applyFill="1" applyBorder="1" applyAlignment="1">
      <alignment horizontal="left" vertical="center"/>
    </xf>
    <xf numFmtId="0" fontId="0" fillId="5" borderId="34" xfId="0" applyFill="1" applyBorder="1" applyAlignment="1">
      <alignment horizontal="center" vertical="center"/>
    </xf>
    <xf numFmtId="0" fontId="0" fillId="5" borderId="39" xfId="0" applyFill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10" fillId="4" borderId="65" xfId="0" applyFont="1" applyFill="1" applyBorder="1" applyAlignment="1">
      <alignment horizontal="center" vertical="center"/>
    </xf>
    <xf numFmtId="0" fontId="0" fillId="5" borderId="74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5" borderId="31" xfId="0" applyFont="1" applyFill="1" applyBorder="1" applyAlignment="1">
      <alignment horizontal="left" vertical="center"/>
    </xf>
    <xf numFmtId="0" fontId="0" fillId="5" borderId="36" xfId="0" applyFill="1" applyBorder="1" applyAlignment="1">
      <alignment horizontal="center" vertical="center"/>
    </xf>
    <xf numFmtId="0" fontId="0" fillId="5" borderId="41" xfId="0" applyFill="1" applyBorder="1" applyAlignment="1">
      <alignment horizontal="center" vertical="center"/>
    </xf>
    <xf numFmtId="0" fontId="0" fillId="5" borderId="75" xfId="0" applyFill="1" applyBorder="1" applyAlignment="1">
      <alignment horizontal="center" vertical="center"/>
    </xf>
    <xf numFmtId="0" fontId="2" fillId="5" borderId="32" xfId="0" applyFont="1" applyFill="1" applyBorder="1" applyAlignment="1">
      <alignment horizontal="left" vertical="center"/>
    </xf>
    <xf numFmtId="0" fontId="0" fillId="5" borderId="37" xfId="0" applyFill="1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  <xf numFmtId="0" fontId="0" fillId="5" borderId="71" xfId="0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0" fillId="6" borderId="49" xfId="0" applyFill="1" applyBorder="1" applyAlignment="1">
      <alignment horizontal="center" vertical="center"/>
    </xf>
    <xf numFmtId="0" fontId="5" fillId="0" borderId="87" xfId="0" applyFont="1" applyBorder="1" applyAlignment="1">
      <alignment horizontal="left" vertical="center"/>
    </xf>
    <xf numFmtId="0" fontId="0" fillId="0" borderId="81" xfId="0" applyBorder="1" applyAlignment="1">
      <alignment horizontal="center" vertical="center"/>
    </xf>
    <xf numFmtId="0" fontId="9" fillId="5" borderId="59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5" fillId="0" borderId="30" xfId="0" applyFont="1" applyBorder="1" applyAlignment="1">
      <alignment horizontal="left" vertical="center"/>
    </xf>
    <xf numFmtId="0" fontId="0" fillId="5" borderId="20" xfId="0" applyFill="1" applyBorder="1" applyAlignment="1">
      <alignment horizontal="center" vertical="center"/>
    </xf>
    <xf numFmtId="0" fontId="0" fillId="5" borderId="58" xfId="0" applyFill="1" applyBorder="1" applyAlignment="1">
      <alignment horizontal="center" vertical="center"/>
    </xf>
    <xf numFmtId="0" fontId="0" fillId="5" borderId="88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5" borderId="52" xfId="0" applyFill="1" applyBorder="1" applyAlignment="1">
      <alignment horizontal="center" vertical="center"/>
    </xf>
    <xf numFmtId="0" fontId="0" fillId="5" borderId="93" xfId="0" applyFill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5" borderId="60" xfId="0" applyFill="1" applyBorder="1" applyAlignment="1">
      <alignment horizontal="center" vertical="center"/>
    </xf>
    <xf numFmtId="0" fontId="0" fillId="5" borderId="59" xfId="0" applyFill="1" applyBorder="1" applyAlignment="1">
      <alignment horizontal="center" vertical="center"/>
    </xf>
    <xf numFmtId="0" fontId="0" fillId="5" borderId="57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9" fontId="0" fillId="5" borderId="74" xfId="1" applyFont="1" applyFill="1" applyBorder="1" applyAlignment="1">
      <alignment horizontal="center" vertical="center"/>
    </xf>
    <xf numFmtId="9" fontId="0" fillId="0" borderId="72" xfId="1" applyFont="1" applyBorder="1" applyAlignment="1">
      <alignment horizontal="center" vertical="center"/>
    </xf>
    <xf numFmtId="9" fontId="0" fillId="0" borderId="75" xfId="1" applyFont="1" applyBorder="1" applyAlignment="1">
      <alignment horizontal="center" vertical="center"/>
    </xf>
    <xf numFmtId="9" fontId="0" fillId="5" borderId="71" xfId="1" applyFont="1" applyFill="1" applyBorder="1" applyAlignment="1">
      <alignment horizontal="center" vertical="center"/>
    </xf>
    <xf numFmtId="9" fontId="0" fillId="0" borderId="73" xfId="1" applyFont="1" applyBorder="1" applyAlignment="1">
      <alignment horizontal="center" vertical="center"/>
    </xf>
    <xf numFmtId="9" fontId="0" fillId="5" borderId="78" xfId="1" applyFont="1" applyFill="1" applyBorder="1" applyAlignment="1">
      <alignment horizontal="center" vertical="center"/>
    </xf>
    <xf numFmtId="9" fontId="0" fillId="0" borderId="83" xfId="1" applyFont="1" applyBorder="1" applyAlignment="1">
      <alignment horizontal="center" vertical="center"/>
    </xf>
    <xf numFmtId="9" fontId="0" fillId="0" borderId="96" xfId="1" applyFont="1" applyBorder="1" applyAlignment="1">
      <alignment horizontal="center" vertical="center"/>
    </xf>
    <xf numFmtId="9" fontId="0" fillId="5" borderId="80" xfId="1" applyFont="1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11" fillId="4" borderId="99" xfId="0" applyFont="1" applyFill="1" applyBorder="1" applyAlignment="1">
      <alignment horizontal="center" vertical="center"/>
    </xf>
    <xf numFmtId="0" fontId="11" fillId="4" borderId="100" xfId="0" applyFont="1" applyFill="1" applyBorder="1" applyAlignment="1">
      <alignment horizontal="center" vertical="center"/>
    </xf>
    <xf numFmtId="0" fontId="11" fillId="4" borderId="103" xfId="0" applyFont="1" applyFill="1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5" borderId="53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2" borderId="89" xfId="0" applyFill="1" applyBorder="1" applyAlignment="1">
      <alignment horizontal="center" vertical="center"/>
    </xf>
    <xf numFmtId="0" fontId="0" fillId="2" borderId="91" xfId="0" applyFill="1" applyBorder="1" applyAlignment="1">
      <alignment horizontal="center" vertical="center"/>
    </xf>
    <xf numFmtId="0" fontId="0" fillId="2" borderId="88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90" xfId="0" applyFill="1" applyBorder="1" applyAlignment="1">
      <alignment horizontal="center" vertical="center"/>
    </xf>
    <xf numFmtId="0" fontId="0" fillId="6" borderId="50" xfId="0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101" xfId="0" applyFont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176" fontId="0" fillId="0" borderId="64" xfId="0" applyNumberFormat="1" applyBorder="1" applyAlignment="1">
      <alignment horizontal="center" vertical="center"/>
    </xf>
    <xf numFmtId="176" fontId="0" fillId="0" borderId="84" xfId="0" applyNumberFormat="1" applyBorder="1" applyAlignment="1">
      <alignment horizontal="center" vertical="center"/>
    </xf>
    <xf numFmtId="176" fontId="0" fillId="0" borderId="8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87" xfId="0" applyBorder="1" applyAlignment="1">
      <alignment horizontal="center" vertical="center" wrapText="1"/>
    </xf>
    <xf numFmtId="0" fontId="10" fillId="4" borderId="62" xfId="0" applyFont="1" applyFill="1" applyBorder="1" applyAlignment="1">
      <alignment horizontal="center" vertical="center"/>
    </xf>
    <xf numFmtId="0" fontId="10" fillId="4" borderId="85" xfId="0" applyFont="1" applyFill="1" applyBorder="1" applyAlignment="1">
      <alignment horizontal="center" vertical="center"/>
    </xf>
    <xf numFmtId="0" fontId="10" fillId="4" borderId="56" xfId="0" applyFont="1" applyFill="1" applyBorder="1" applyAlignment="1">
      <alignment horizontal="center" vertical="center"/>
    </xf>
    <xf numFmtId="0" fontId="10" fillId="4" borderId="98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1" fillId="4" borderId="101" xfId="0" applyFont="1" applyFill="1" applyBorder="1" applyAlignment="1">
      <alignment horizontal="center" vertical="center"/>
    </xf>
    <xf numFmtId="0" fontId="11" fillId="4" borderId="102" xfId="0" applyFont="1" applyFill="1" applyBorder="1" applyAlignment="1">
      <alignment horizontal="center" vertical="center"/>
    </xf>
    <xf numFmtId="0" fontId="10" fillId="4" borderId="70" xfId="0" applyFont="1" applyFill="1" applyBorder="1" applyAlignment="1">
      <alignment horizontal="center" vertical="center"/>
    </xf>
    <xf numFmtId="0" fontId="10" fillId="4" borderId="76" xfId="0" applyFont="1" applyFill="1" applyBorder="1" applyAlignment="1">
      <alignment horizontal="center" vertical="center"/>
    </xf>
    <xf numFmtId="0" fontId="10" fillId="4" borderId="65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vertical="center" wrapText="1"/>
    </xf>
    <xf numFmtId="0" fontId="6" fillId="3" borderId="8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0" fillId="4" borderId="97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44" xfId="0" applyFont="1" applyFill="1" applyBorder="1" applyAlignment="1">
      <alignment horizontal="center" vertical="center"/>
    </xf>
    <xf numFmtId="0" fontId="10" fillId="4" borderId="46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45" xfId="0" applyFont="1" applyFill="1" applyBorder="1" applyAlignment="1">
      <alignment horizontal="center" vertical="center"/>
    </xf>
    <xf numFmtId="0" fontId="10" fillId="4" borderId="47" xfId="0" applyFont="1" applyFill="1" applyBorder="1" applyAlignment="1">
      <alignment horizontal="center" vertical="center"/>
    </xf>
    <xf numFmtId="0" fontId="10" fillId="4" borderId="48" xfId="0" applyFont="1" applyFill="1" applyBorder="1" applyAlignment="1">
      <alignment horizontal="center" vertical="center"/>
    </xf>
    <xf numFmtId="0" fontId="10" fillId="4" borderId="49" xfId="0" applyFont="1" applyFill="1" applyBorder="1" applyAlignment="1">
      <alignment horizontal="center" vertical="center"/>
    </xf>
    <xf numFmtId="0" fontId="10" fillId="4" borderId="50" xfId="0" applyFont="1" applyFill="1" applyBorder="1" applyAlignment="1">
      <alignment horizontal="center" vertical="center"/>
    </xf>
    <xf numFmtId="0" fontId="10" fillId="4" borderId="69" xfId="0" applyFont="1" applyFill="1" applyBorder="1" applyAlignment="1">
      <alignment horizontal="center" vertical="center"/>
    </xf>
    <xf numFmtId="0" fontId="10" fillId="4" borderId="7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4" borderId="49" xfId="0" applyFont="1" applyFill="1" applyBorder="1" applyAlignment="1">
      <alignment horizontal="center" vertical="center"/>
    </xf>
    <xf numFmtId="0" fontId="11" fillId="4" borderId="50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0" fillId="4" borderId="63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176" fontId="0" fillId="0" borderId="65" xfId="0" applyNumberFormat="1" applyBorder="1" applyAlignment="1">
      <alignment horizontal="center" vertical="center"/>
    </xf>
    <xf numFmtId="176" fontId="0" fillId="0" borderId="101" xfId="0" applyNumberFormat="1" applyBorder="1" applyAlignment="1">
      <alignment horizontal="center" vertical="center"/>
    </xf>
    <xf numFmtId="176" fontId="0" fillId="0" borderId="102" xfId="0" applyNumberForma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76" fontId="0" fillId="0" borderId="70" xfId="0" applyNumberFormat="1" applyBorder="1" applyAlignment="1">
      <alignment horizontal="center" vertical="center"/>
    </xf>
    <xf numFmtId="176" fontId="0" fillId="0" borderId="100" xfId="0" applyNumberFormat="1" applyBorder="1" applyAlignment="1">
      <alignment horizontal="center" vertical="center"/>
    </xf>
    <xf numFmtId="176" fontId="0" fillId="0" borderId="103" xfId="0" applyNumberFormat="1" applyBorder="1" applyAlignment="1">
      <alignment horizontal="center" vertical="center"/>
    </xf>
    <xf numFmtId="0" fontId="10" fillId="4" borderId="7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66" xfId="0" applyFont="1" applyFill="1" applyBorder="1" applyAlignment="1">
      <alignment horizontal="center" vertical="center"/>
    </xf>
    <xf numFmtId="0" fontId="10" fillId="4" borderId="67" xfId="0" applyFont="1" applyFill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435429</xdr:colOff>
      <xdr:row>18</xdr:row>
      <xdr:rowOff>163286</xdr:rowOff>
    </xdr:from>
    <xdr:to>
      <xdr:col>8</xdr:col>
      <xdr:colOff>613703</xdr:colOff>
      <xdr:row>23</xdr:row>
      <xdr:rowOff>72571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A16055D-4203-060F-5C52-148FDDDAA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7858" y="4299857"/>
          <a:ext cx="2863416" cy="997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zoomScale="70" zoomScaleNormal="70" workbookViewId="0">
      <selection activeCell="U20" sqref="U20"/>
    </sheetView>
  </sheetViews>
  <sheetFormatPr baseColWidth="10" defaultColWidth="8.83203125" defaultRowHeight="17"/>
  <cols>
    <col min="1" max="1" width="14.33203125" customWidth="1"/>
  </cols>
  <sheetData>
    <row r="1" spans="1:14" ht="25" customHeight="1">
      <c r="A1" s="40" t="s">
        <v>26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 t="s">
        <v>212</v>
      </c>
      <c r="N1" s="125"/>
    </row>
    <row r="2" spans="1:14" ht="25" customHeight="1">
      <c r="A2" s="40" t="s">
        <v>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</row>
    <row r="4" spans="1:14">
      <c r="A4" s="123" t="s">
        <v>215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</row>
    <row r="5" spans="1:14">
      <c r="A5" s="124"/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</row>
    <row r="6" spans="1:14">
      <c r="A6" s="124"/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</row>
    <row r="7" spans="1:14">
      <c r="A7" s="124"/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</row>
    <row r="8" spans="1:14">
      <c r="A8" s="124"/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</row>
    <row r="9" spans="1:14">
      <c r="A9" s="124"/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</row>
    <row r="10" spans="1:14">
      <c r="A10" s="124"/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</row>
    <row r="11" spans="1:14">
      <c r="A11" s="124"/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</row>
    <row r="12" spans="1:14">
      <c r="A12" s="124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</row>
    <row r="13" spans="1:14">
      <c r="A13" s="124"/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</row>
    <row r="14" spans="1:14">
      <c r="A14" s="124"/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</row>
    <row r="15" spans="1:14">
      <c r="A15" s="124"/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</row>
    <row r="16" spans="1:14">
      <c r="A16" s="124"/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</row>
    <row r="17" spans="1:14">
      <c r="A17" s="124"/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</row>
    <row r="18" spans="1:14">
      <c r="A18" s="124"/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</row>
    <row r="19" spans="1:14">
      <c r="A19" s="124"/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</row>
    <row r="20" spans="1:14">
      <c r="A20" s="124"/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</row>
    <row r="21" spans="1:14">
      <c r="A21" s="124"/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</row>
    <row r="22" spans="1:14">
      <c r="A22" s="124"/>
      <c r="B22" s="124"/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</row>
    <row r="23" spans="1:14">
      <c r="A23" s="124"/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</row>
    <row r="24" spans="1:14">
      <c r="A24" s="124"/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</row>
    <row r="25" spans="1:14">
      <c r="A25" s="124"/>
      <c r="B25" s="124"/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</row>
    <row r="26" spans="1:14">
      <c r="A26" s="124"/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</row>
    <row r="27" spans="1:14">
      <c r="A27" s="124"/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</row>
  </sheetData>
  <mergeCells count="4">
    <mergeCell ref="A4:N27"/>
    <mergeCell ref="B1:L1"/>
    <mergeCell ref="B2:L2"/>
    <mergeCell ref="M1:N2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12"/>
  <sheetViews>
    <sheetView tabSelected="1" zoomScale="70" zoomScaleNormal="70" workbookViewId="0">
      <selection activeCell="B10" sqref="B10"/>
    </sheetView>
  </sheetViews>
  <sheetFormatPr baseColWidth="10" defaultColWidth="8.83203125" defaultRowHeight="17"/>
  <cols>
    <col min="1" max="1" width="22.6640625" style="1" customWidth="1"/>
    <col min="2" max="2" width="45.1640625" style="1" customWidth="1"/>
    <col min="3" max="3" width="44.33203125" style="1" customWidth="1"/>
    <col min="4" max="4" width="13.33203125" style="1" customWidth="1"/>
    <col min="5" max="5" width="34.6640625" style="1" customWidth="1"/>
    <col min="6" max="7" width="15.6640625" style="1" customWidth="1"/>
    <col min="8" max="8" width="11.83203125" style="1" customWidth="1"/>
    <col min="9" max="41" width="3.6640625" style="1" customWidth="1"/>
    <col min="42" max="16384" width="8.83203125" style="1"/>
  </cols>
  <sheetData>
    <row r="1" spans="1:41" ht="34.75" customHeight="1">
      <c r="A1" s="178" t="s">
        <v>216</v>
      </c>
      <c r="B1" s="178"/>
      <c r="C1" s="178"/>
      <c r="D1" s="178"/>
      <c r="E1" s="178"/>
      <c r="F1" s="178"/>
      <c r="G1" s="178"/>
      <c r="H1" s="178"/>
    </row>
    <row r="2" spans="1:41" ht="8.5" customHeight="1" thickBot="1"/>
    <row r="3" spans="1:41" ht="25" customHeight="1" thickBot="1">
      <c r="A3" s="154" t="s">
        <v>0</v>
      </c>
      <c r="B3" s="157" t="s">
        <v>1</v>
      </c>
      <c r="C3" s="137" t="s">
        <v>2</v>
      </c>
      <c r="D3" s="138"/>
      <c r="E3" s="137" t="s">
        <v>55</v>
      </c>
      <c r="F3" s="137" t="s">
        <v>54</v>
      </c>
      <c r="G3" s="183"/>
      <c r="H3" s="184"/>
      <c r="I3" s="166" t="s">
        <v>28</v>
      </c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7"/>
    </row>
    <row r="4" spans="1:41" ht="20" customHeight="1" thickBot="1">
      <c r="A4" s="156"/>
      <c r="B4" s="159"/>
      <c r="C4" s="145"/>
      <c r="D4" s="182"/>
      <c r="E4" s="171"/>
      <c r="F4" s="171"/>
      <c r="G4" s="185"/>
      <c r="H4" s="186"/>
      <c r="I4" s="166" t="s">
        <v>29</v>
      </c>
      <c r="J4" s="166"/>
      <c r="K4" s="167"/>
      <c r="L4" s="172" t="s">
        <v>25</v>
      </c>
      <c r="M4" s="172"/>
      <c r="N4" s="172"/>
      <c r="O4" s="172"/>
      <c r="P4" s="173"/>
      <c r="Q4" s="174" t="s">
        <v>23</v>
      </c>
      <c r="R4" s="172"/>
      <c r="S4" s="172"/>
      <c r="T4" s="173"/>
      <c r="U4" s="174" t="s">
        <v>24</v>
      </c>
      <c r="V4" s="172"/>
      <c r="W4" s="172"/>
      <c r="X4" s="172"/>
      <c r="Y4" s="173"/>
      <c r="Z4" s="174" t="s">
        <v>30</v>
      </c>
      <c r="AA4" s="172"/>
      <c r="AB4" s="172"/>
      <c r="AC4" s="172"/>
      <c r="AD4" s="174" t="s">
        <v>31</v>
      </c>
      <c r="AE4" s="172"/>
      <c r="AF4" s="173"/>
      <c r="AG4" s="174" t="s">
        <v>32</v>
      </c>
      <c r="AH4" s="172"/>
      <c r="AI4" s="172"/>
      <c r="AJ4" s="172"/>
      <c r="AK4" s="173"/>
      <c r="AL4" s="172" t="s">
        <v>33</v>
      </c>
      <c r="AM4" s="172"/>
      <c r="AN4" s="172"/>
      <c r="AO4" s="173"/>
    </row>
    <row r="5" spans="1:41" ht="24" customHeight="1" thickBot="1">
      <c r="A5" s="168" t="s">
        <v>3</v>
      </c>
      <c r="B5" s="41"/>
      <c r="C5" s="135"/>
      <c r="D5" s="135"/>
      <c r="E5" s="56"/>
      <c r="F5" s="179"/>
      <c r="G5" s="180"/>
      <c r="H5" s="181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122"/>
    </row>
    <row r="6" spans="1:41" ht="24" customHeight="1" thickBot="1">
      <c r="A6" s="169"/>
      <c r="B6" s="3"/>
      <c r="C6" s="135"/>
      <c r="D6" s="135"/>
      <c r="E6" s="57"/>
      <c r="F6" s="132"/>
      <c r="G6" s="133"/>
      <c r="H6" s="134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122"/>
    </row>
    <row r="7" spans="1:41" ht="24" customHeight="1" thickBot="1">
      <c r="A7" s="169"/>
      <c r="B7" s="3"/>
      <c r="C7" s="135"/>
      <c r="D7" s="135"/>
      <c r="E7" s="57"/>
      <c r="F7" s="132"/>
      <c r="G7" s="133"/>
      <c r="H7" s="134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122"/>
    </row>
    <row r="8" spans="1:41" ht="24" customHeight="1" thickBot="1">
      <c r="A8" s="169"/>
      <c r="B8" s="3"/>
      <c r="C8" s="135"/>
      <c r="D8" s="135"/>
      <c r="E8" s="57"/>
      <c r="F8" s="132"/>
      <c r="G8" s="133"/>
      <c r="H8" s="134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122"/>
    </row>
    <row r="9" spans="1:41" ht="24" customHeight="1" thickBot="1">
      <c r="A9" s="169"/>
      <c r="B9" s="3"/>
      <c r="C9" s="135"/>
      <c r="D9" s="135"/>
      <c r="E9" s="57"/>
      <c r="F9" s="132"/>
      <c r="G9" s="133"/>
      <c r="H9" s="134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122"/>
    </row>
    <row r="10" spans="1:41" ht="24" customHeight="1" thickBot="1">
      <c r="A10" s="169"/>
      <c r="B10" s="74"/>
      <c r="C10" s="136"/>
      <c r="D10" s="136"/>
      <c r="E10" s="75"/>
      <c r="F10" s="132"/>
      <c r="G10" s="133"/>
      <c r="H10" s="134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122"/>
    </row>
    <row r="11" spans="1:41" ht="17.5" customHeight="1" thickBot="1">
      <c r="A11" s="170"/>
      <c r="B11" s="126" t="s">
        <v>4</v>
      </c>
      <c r="C11" s="127"/>
      <c r="D11" s="127"/>
      <c r="E11" s="127"/>
      <c r="F11" s="175">
        <f>SUM(F5:H10)</f>
        <v>0</v>
      </c>
      <c r="G11" s="176"/>
      <c r="H11" s="177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1"/>
    </row>
    <row r="12" spans="1:41" ht="10.75" customHeight="1" thickBot="1">
      <c r="A12" s="38"/>
      <c r="B12" s="22"/>
      <c r="C12" s="22"/>
      <c r="D12" s="22"/>
      <c r="E12" s="39"/>
      <c r="F12" s="39"/>
      <c r="G12" s="39"/>
      <c r="H12" s="39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ht="25" customHeight="1" thickBot="1">
      <c r="A13" s="151" t="s">
        <v>5</v>
      </c>
      <c r="B13" s="154" t="s">
        <v>6</v>
      </c>
      <c r="C13" s="157" t="s">
        <v>7</v>
      </c>
      <c r="D13" s="157" t="s">
        <v>8</v>
      </c>
      <c r="E13" s="144" t="s">
        <v>9</v>
      </c>
      <c r="F13" s="137" t="s">
        <v>41</v>
      </c>
      <c r="G13" s="138"/>
      <c r="H13" s="163" t="s">
        <v>56</v>
      </c>
      <c r="I13" s="160" t="s">
        <v>119</v>
      </c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  <c r="AJ13" s="161"/>
      <c r="AK13" s="161"/>
      <c r="AL13" s="161"/>
      <c r="AM13" s="161"/>
      <c r="AN13" s="161"/>
      <c r="AO13" s="162"/>
    </row>
    <row r="14" spans="1:41" ht="25" customHeight="1">
      <c r="A14" s="152"/>
      <c r="B14" s="155"/>
      <c r="C14" s="158"/>
      <c r="D14" s="158"/>
      <c r="E14" s="145"/>
      <c r="F14" s="139"/>
      <c r="G14" s="140"/>
      <c r="H14" s="164"/>
      <c r="I14" s="109">
        <v>20</v>
      </c>
      <c r="J14" s="110">
        <v>21</v>
      </c>
      <c r="K14" s="111">
        <v>22</v>
      </c>
      <c r="L14" s="110">
        <v>26</v>
      </c>
      <c r="M14" s="110">
        <v>27</v>
      </c>
      <c r="N14" s="110">
        <v>28</v>
      </c>
      <c r="O14" s="110">
        <v>29</v>
      </c>
      <c r="P14" s="110">
        <v>30</v>
      </c>
      <c r="Q14" s="109">
        <v>4</v>
      </c>
      <c r="R14" s="110">
        <v>5</v>
      </c>
      <c r="S14" s="110">
        <v>6</v>
      </c>
      <c r="T14" s="111">
        <v>7</v>
      </c>
      <c r="U14" s="110">
        <v>10</v>
      </c>
      <c r="V14" s="110">
        <v>11</v>
      </c>
      <c r="W14" s="110">
        <v>12</v>
      </c>
      <c r="X14" s="110">
        <v>13</v>
      </c>
      <c r="Y14" s="110">
        <v>14</v>
      </c>
      <c r="Z14" s="109">
        <v>16</v>
      </c>
      <c r="AA14" s="110">
        <v>17</v>
      </c>
      <c r="AB14" s="110">
        <v>18</v>
      </c>
      <c r="AC14" s="111">
        <v>19</v>
      </c>
      <c r="AD14" s="110">
        <v>26</v>
      </c>
      <c r="AE14" s="110">
        <v>27</v>
      </c>
      <c r="AF14" s="110">
        <v>28</v>
      </c>
      <c r="AG14" s="109">
        <v>31</v>
      </c>
      <c r="AH14" s="110">
        <v>1</v>
      </c>
      <c r="AI14" s="110">
        <v>2</v>
      </c>
      <c r="AJ14" s="110">
        <v>3</v>
      </c>
      <c r="AK14" s="111">
        <v>4</v>
      </c>
      <c r="AL14" s="110">
        <v>7</v>
      </c>
      <c r="AM14" s="110">
        <v>8</v>
      </c>
      <c r="AN14" s="110">
        <v>9</v>
      </c>
      <c r="AO14" s="111">
        <v>10</v>
      </c>
    </row>
    <row r="15" spans="1:41" ht="20" customHeight="1" thickBot="1">
      <c r="A15" s="153"/>
      <c r="B15" s="156"/>
      <c r="C15" s="159"/>
      <c r="D15" s="159"/>
      <c r="E15" s="146"/>
      <c r="F15" s="61" t="s">
        <v>43</v>
      </c>
      <c r="G15" s="61" t="s">
        <v>44</v>
      </c>
      <c r="H15" s="165"/>
      <c r="I15" s="141" t="s">
        <v>29</v>
      </c>
      <c r="J15" s="142"/>
      <c r="K15" s="143"/>
      <c r="L15" s="142" t="s">
        <v>25</v>
      </c>
      <c r="M15" s="142"/>
      <c r="N15" s="142"/>
      <c r="O15" s="142"/>
      <c r="P15" s="142"/>
      <c r="Q15" s="141" t="s">
        <v>23</v>
      </c>
      <c r="R15" s="142"/>
      <c r="S15" s="142"/>
      <c r="T15" s="143"/>
      <c r="U15" s="142" t="s">
        <v>24</v>
      </c>
      <c r="V15" s="142"/>
      <c r="W15" s="142"/>
      <c r="X15" s="142"/>
      <c r="Y15" s="142"/>
      <c r="Z15" s="141" t="s">
        <v>30</v>
      </c>
      <c r="AA15" s="142"/>
      <c r="AB15" s="142"/>
      <c r="AC15" s="143"/>
      <c r="AD15" s="142" t="s">
        <v>31</v>
      </c>
      <c r="AE15" s="142"/>
      <c r="AF15" s="142"/>
      <c r="AG15" s="141" t="s">
        <v>32</v>
      </c>
      <c r="AH15" s="142"/>
      <c r="AI15" s="142"/>
      <c r="AJ15" s="142"/>
      <c r="AK15" s="143"/>
      <c r="AL15" s="142" t="s">
        <v>33</v>
      </c>
      <c r="AM15" s="142"/>
      <c r="AN15" s="142"/>
      <c r="AO15" s="143"/>
    </row>
    <row r="16" spans="1:41">
      <c r="A16" s="147" t="s">
        <v>13</v>
      </c>
      <c r="B16" s="68" t="s">
        <v>10</v>
      </c>
      <c r="C16" s="69" t="s">
        <v>214</v>
      </c>
      <c r="D16" s="70"/>
      <c r="E16" s="69"/>
      <c r="F16" s="71" t="s">
        <v>45</v>
      </c>
      <c r="G16" s="71" t="s">
        <v>46</v>
      </c>
      <c r="H16" s="102">
        <f>AVERAGE(H17:H20)</f>
        <v>1</v>
      </c>
      <c r="I16" s="32"/>
      <c r="J16" s="33"/>
      <c r="K16" s="7"/>
      <c r="L16" s="23"/>
      <c r="M16" s="6"/>
      <c r="N16" s="6"/>
      <c r="O16" s="6"/>
      <c r="P16" s="7"/>
      <c r="Q16" s="23"/>
      <c r="R16" s="6"/>
      <c r="S16" s="27"/>
      <c r="T16" s="7"/>
      <c r="U16" s="23"/>
      <c r="V16" s="26"/>
      <c r="W16" s="6"/>
      <c r="X16" s="27"/>
      <c r="Y16" s="7"/>
      <c r="Z16" s="23"/>
      <c r="AA16" s="26"/>
      <c r="AB16" s="6"/>
      <c r="AC16" s="27"/>
      <c r="AD16" s="23"/>
      <c r="AE16" s="42"/>
      <c r="AF16" s="7"/>
      <c r="AG16" s="23"/>
      <c r="AH16" s="6"/>
      <c r="AI16" s="6"/>
      <c r="AJ16" s="27"/>
      <c r="AK16" s="7"/>
      <c r="AL16" s="26"/>
      <c r="AM16" s="6"/>
      <c r="AN16" s="6"/>
      <c r="AO16" s="7"/>
    </row>
    <row r="17" spans="1:41">
      <c r="A17" s="131"/>
      <c r="B17" s="13" t="s">
        <v>11</v>
      </c>
      <c r="C17" s="15"/>
      <c r="D17" s="17" t="s">
        <v>17</v>
      </c>
      <c r="E17" s="15"/>
      <c r="F17" s="58" t="s">
        <v>47</v>
      </c>
      <c r="G17" s="58" t="s">
        <v>48</v>
      </c>
      <c r="H17" s="100">
        <v>1</v>
      </c>
      <c r="I17" s="44"/>
      <c r="J17" s="45"/>
      <c r="K17" s="8"/>
      <c r="L17" s="24"/>
      <c r="M17" s="5"/>
      <c r="N17" s="5"/>
      <c r="O17" s="5"/>
      <c r="P17" s="8"/>
      <c r="Q17" s="24"/>
      <c r="R17" s="5"/>
      <c r="S17" s="28"/>
      <c r="T17" s="8"/>
      <c r="U17" s="24"/>
      <c r="V17" s="11"/>
      <c r="W17" s="5"/>
      <c r="X17" s="28"/>
      <c r="Y17" s="8"/>
      <c r="Z17" s="24"/>
      <c r="AA17" s="11"/>
      <c r="AB17" s="5"/>
      <c r="AC17" s="28"/>
      <c r="AD17" s="24"/>
      <c r="AE17" s="15"/>
      <c r="AF17" s="8"/>
      <c r="AG17" s="24"/>
      <c r="AH17" s="5"/>
      <c r="AI17" s="5"/>
      <c r="AJ17" s="28"/>
      <c r="AK17" s="8"/>
      <c r="AL17" s="11"/>
      <c r="AM17" s="5"/>
      <c r="AN17" s="5"/>
      <c r="AO17" s="8"/>
    </row>
    <row r="18" spans="1:41">
      <c r="A18" s="131"/>
      <c r="B18" s="19" t="s">
        <v>213</v>
      </c>
      <c r="C18" s="20"/>
      <c r="D18" s="21" t="s">
        <v>18</v>
      </c>
      <c r="E18" s="20"/>
      <c r="F18" s="58" t="s">
        <v>45</v>
      </c>
      <c r="G18" s="58" t="s">
        <v>46</v>
      </c>
      <c r="H18" s="100">
        <v>1</v>
      </c>
      <c r="I18" s="95"/>
      <c r="J18" s="86"/>
      <c r="K18" s="53"/>
      <c r="L18" s="51"/>
      <c r="M18" s="52"/>
      <c r="N18" s="52"/>
      <c r="O18" s="52"/>
      <c r="P18" s="53"/>
      <c r="Q18" s="51"/>
      <c r="R18" s="52"/>
      <c r="S18" s="54"/>
      <c r="T18" s="53"/>
      <c r="U18" s="51"/>
      <c r="V18" s="55"/>
      <c r="W18" s="52"/>
      <c r="X18" s="54"/>
      <c r="Y18" s="53"/>
      <c r="Z18" s="51"/>
      <c r="AA18" s="55"/>
      <c r="AB18" s="52"/>
      <c r="AC18" s="54"/>
      <c r="AD18" s="51"/>
      <c r="AE18" s="20"/>
      <c r="AF18" s="53"/>
      <c r="AG18" s="51"/>
      <c r="AH18" s="52"/>
      <c r="AI18" s="52"/>
      <c r="AJ18" s="54"/>
      <c r="AK18" s="53"/>
      <c r="AL18" s="55"/>
      <c r="AM18" s="52"/>
      <c r="AN18" s="52"/>
      <c r="AO18" s="53"/>
    </row>
    <row r="19" spans="1:41">
      <c r="A19" s="131"/>
      <c r="B19" s="19" t="s">
        <v>81</v>
      </c>
      <c r="C19" s="20"/>
      <c r="D19" s="21" t="s">
        <v>83</v>
      </c>
      <c r="E19" s="20"/>
      <c r="F19" s="59" t="s">
        <v>84</v>
      </c>
      <c r="G19" s="59" t="s">
        <v>85</v>
      </c>
      <c r="H19" s="103">
        <v>1</v>
      </c>
      <c r="I19" s="95"/>
      <c r="J19" s="86"/>
      <c r="K19" s="53"/>
      <c r="L19" s="51"/>
      <c r="M19" s="52"/>
      <c r="N19" s="52"/>
      <c r="O19" s="52"/>
      <c r="P19" s="53"/>
      <c r="Q19" s="51"/>
      <c r="R19" s="52"/>
      <c r="S19" s="54"/>
      <c r="T19" s="53"/>
      <c r="U19" s="51"/>
      <c r="V19" s="55"/>
      <c r="W19" s="52"/>
      <c r="X19" s="54"/>
      <c r="Y19" s="53"/>
      <c r="Z19" s="51"/>
      <c r="AA19" s="55"/>
      <c r="AB19" s="52"/>
      <c r="AC19" s="54"/>
      <c r="AD19" s="51"/>
      <c r="AE19" s="20"/>
      <c r="AF19" s="53"/>
      <c r="AG19" s="51"/>
      <c r="AH19" s="52"/>
      <c r="AI19" s="52"/>
      <c r="AJ19" s="54"/>
      <c r="AK19" s="53"/>
      <c r="AL19" s="55"/>
      <c r="AM19" s="52"/>
      <c r="AN19" s="52"/>
      <c r="AO19" s="53"/>
    </row>
    <row r="20" spans="1:41" ht="18" thickBot="1">
      <c r="A20" s="131"/>
      <c r="B20" s="19" t="s">
        <v>82</v>
      </c>
      <c r="C20" s="20"/>
      <c r="D20" s="21" t="s">
        <v>18</v>
      </c>
      <c r="E20" s="20"/>
      <c r="F20" s="59" t="s">
        <v>49</v>
      </c>
      <c r="G20" s="59" t="s">
        <v>46</v>
      </c>
      <c r="H20" s="103">
        <v>1</v>
      </c>
      <c r="I20" s="46"/>
      <c r="J20" s="47"/>
      <c r="K20" s="10"/>
      <c r="L20" s="25"/>
      <c r="M20" s="9"/>
      <c r="N20" s="9"/>
      <c r="O20" s="9"/>
      <c r="P20" s="10"/>
      <c r="Q20" s="25"/>
      <c r="R20" s="9"/>
      <c r="S20" s="29"/>
      <c r="T20" s="10"/>
      <c r="U20" s="25"/>
      <c r="V20" s="12"/>
      <c r="W20" s="9"/>
      <c r="X20" s="29"/>
      <c r="Y20" s="10"/>
      <c r="Z20" s="25"/>
      <c r="AA20" s="12"/>
      <c r="AB20" s="9"/>
      <c r="AC20" s="29"/>
      <c r="AD20" s="25"/>
      <c r="AE20" s="16"/>
      <c r="AF20" s="10"/>
      <c r="AG20" s="25"/>
      <c r="AH20" s="9"/>
      <c r="AI20" s="9"/>
      <c r="AJ20" s="29"/>
      <c r="AK20" s="10"/>
      <c r="AL20" s="12"/>
      <c r="AM20" s="9"/>
      <c r="AN20" s="9"/>
      <c r="AO20" s="10"/>
    </row>
    <row r="21" spans="1:41">
      <c r="A21" s="131"/>
      <c r="B21" s="48" t="s">
        <v>12</v>
      </c>
      <c r="C21" s="49"/>
      <c r="D21" s="50"/>
      <c r="E21" s="49"/>
      <c r="F21" s="62" t="s">
        <v>45</v>
      </c>
      <c r="G21" s="62" t="s">
        <v>42</v>
      </c>
      <c r="H21" s="99">
        <f>AVERAGE(H22:H26)</f>
        <v>1</v>
      </c>
      <c r="I21" s="32"/>
      <c r="J21" s="33"/>
      <c r="K21" s="34"/>
      <c r="L21" s="32"/>
      <c r="M21" s="33"/>
      <c r="N21" s="33"/>
      <c r="O21" s="6"/>
      <c r="P21" s="7"/>
      <c r="Q21" s="23"/>
      <c r="R21" s="6"/>
      <c r="S21" s="27"/>
      <c r="T21" s="7"/>
      <c r="U21" s="23"/>
      <c r="V21" s="26"/>
      <c r="W21" s="6"/>
      <c r="X21" s="27"/>
      <c r="Y21" s="7"/>
      <c r="Z21" s="23"/>
      <c r="AA21" s="26"/>
      <c r="AB21" s="6"/>
      <c r="AC21" s="27"/>
      <c r="AD21" s="23"/>
      <c r="AE21" s="42"/>
      <c r="AF21" s="7"/>
      <c r="AG21" s="23"/>
      <c r="AH21" s="6"/>
      <c r="AI21" s="6"/>
      <c r="AJ21" s="27"/>
      <c r="AK21" s="7"/>
      <c r="AL21" s="26"/>
      <c r="AM21" s="6"/>
      <c r="AN21" s="6"/>
      <c r="AO21" s="7"/>
    </row>
    <row r="22" spans="1:41">
      <c r="A22" s="131"/>
      <c r="B22" s="13" t="s">
        <v>34</v>
      </c>
      <c r="C22" s="15"/>
      <c r="D22" s="17" t="s">
        <v>19</v>
      </c>
      <c r="E22" s="15"/>
      <c r="F22" s="58" t="s">
        <v>47</v>
      </c>
      <c r="G22" s="58" t="s">
        <v>48</v>
      </c>
      <c r="H22" s="100">
        <v>1</v>
      </c>
      <c r="I22" s="44"/>
      <c r="J22" s="45"/>
      <c r="K22" s="72"/>
      <c r="L22" s="24"/>
      <c r="M22" s="5"/>
      <c r="N22" s="5"/>
      <c r="O22" s="5"/>
      <c r="P22" s="8"/>
      <c r="Q22" s="24"/>
      <c r="R22" s="5"/>
      <c r="S22" s="28"/>
      <c r="T22" s="8"/>
      <c r="U22" s="24"/>
      <c r="V22" s="11"/>
      <c r="W22" s="5"/>
      <c r="X22" s="28"/>
      <c r="Y22" s="8"/>
      <c r="Z22" s="24"/>
      <c r="AA22" s="11"/>
      <c r="AB22" s="5"/>
      <c r="AC22" s="28"/>
      <c r="AD22" s="24"/>
      <c r="AE22" s="15"/>
      <c r="AF22" s="8"/>
      <c r="AG22" s="24"/>
      <c r="AH22" s="5"/>
      <c r="AI22" s="5"/>
      <c r="AJ22" s="28"/>
      <c r="AK22" s="8"/>
      <c r="AL22" s="11"/>
      <c r="AM22" s="5"/>
      <c r="AN22" s="5"/>
      <c r="AO22" s="8"/>
    </row>
    <row r="23" spans="1:41">
      <c r="A23" s="150"/>
      <c r="B23" s="19" t="s">
        <v>35</v>
      </c>
      <c r="C23" s="20" t="s">
        <v>130</v>
      </c>
      <c r="D23" s="21" t="s">
        <v>38</v>
      </c>
      <c r="E23" s="20"/>
      <c r="F23" s="59" t="s">
        <v>60</v>
      </c>
      <c r="G23" s="59" t="s">
        <v>70</v>
      </c>
      <c r="H23" s="103">
        <v>1</v>
      </c>
      <c r="I23" s="51"/>
      <c r="J23" s="52"/>
      <c r="K23" s="76"/>
      <c r="L23" s="95"/>
      <c r="M23" s="86"/>
      <c r="N23" s="86"/>
      <c r="O23" s="52"/>
      <c r="P23" s="53"/>
      <c r="Q23" s="51"/>
      <c r="R23" s="52"/>
      <c r="S23" s="54"/>
      <c r="T23" s="53"/>
      <c r="U23" s="51"/>
      <c r="V23" s="55"/>
      <c r="W23" s="52"/>
      <c r="X23" s="54"/>
      <c r="Y23" s="53"/>
      <c r="Z23" s="51"/>
      <c r="AA23" s="55"/>
      <c r="AB23" s="52"/>
      <c r="AC23" s="54"/>
      <c r="AD23" s="51"/>
      <c r="AE23" s="20"/>
      <c r="AF23" s="53"/>
      <c r="AG23" s="51"/>
      <c r="AH23" s="52"/>
      <c r="AI23" s="52"/>
      <c r="AJ23" s="54"/>
      <c r="AK23" s="53"/>
      <c r="AL23" s="55"/>
      <c r="AM23" s="52"/>
      <c r="AN23" s="52"/>
      <c r="AO23" s="53"/>
    </row>
    <row r="24" spans="1:41">
      <c r="A24" s="150"/>
      <c r="B24" s="19" t="s">
        <v>132</v>
      </c>
      <c r="C24" s="20" t="s">
        <v>131</v>
      </c>
      <c r="D24" s="21" t="s">
        <v>39</v>
      </c>
      <c r="E24" s="20"/>
      <c r="F24" s="59" t="s">
        <v>42</v>
      </c>
      <c r="G24" s="59" t="s">
        <v>71</v>
      </c>
      <c r="H24" s="103">
        <v>1</v>
      </c>
      <c r="I24" s="51"/>
      <c r="J24" s="52"/>
      <c r="K24" s="76"/>
      <c r="L24" s="95"/>
      <c r="M24" s="86"/>
      <c r="N24" s="52"/>
      <c r="O24" s="52"/>
      <c r="P24" s="53"/>
      <c r="Q24" s="51"/>
      <c r="R24" s="52"/>
      <c r="S24" s="54"/>
      <c r="T24" s="53"/>
      <c r="U24" s="51"/>
      <c r="V24" s="55"/>
      <c r="W24" s="52"/>
      <c r="X24" s="54"/>
      <c r="Y24" s="53"/>
      <c r="Z24" s="51"/>
      <c r="AA24" s="55"/>
      <c r="AB24" s="52"/>
      <c r="AC24" s="54"/>
      <c r="AD24" s="51"/>
      <c r="AE24" s="20"/>
      <c r="AF24" s="53"/>
      <c r="AG24" s="51"/>
      <c r="AH24" s="52"/>
      <c r="AI24" s="52"/>
      <c r="AJ24" s="54"/>
      <c r="AK24" s="53"/>
      <c r="AL24" s="55"/>
      <c r="AM24" s="52"/>
      <c r="AN24" s="52"/>
      <c r="AO24" s="53"/>
    </row>
    <row r="25" spans="1:41">
      <c r="A25" s="150"/>
      <c r="B25" s="19" t="s">
        <v>36</v>
      </c>
      <c r="C25" s="20" t="s">
        <v>133</v>
      </c>
      <c r="D25" s="21" t="s">
        <v>38</v>
      </c>
      <c r="E25" s="20"/>
      <c r="F25" s="59" t="s">
        <v>42</v>
      </c>
      <c r="G25" s="59" t="s">
        <v>71</v>
      </c>
      <c r="H25" s="103">
        <v>1</v>
      </c>
      <c r="I25" s="51"/>
      <c r="J25" s="52"/>
      <c r="K25" s="76"/>
      <c r="L25" s="95"/>
      <c r="M25" s="86"/>
      <c r="N25" s="52"/>
      <c r="O25" s="52"/>
      <c r="P25" s="53"/>
      <c r="Q25" s="51"/>
      <c r="R25" s="52"/>
      <c r="S25" s="54"/>
      <c r="T25" s="53"/>
      <c r="U25" s="51"/>
      <c r="V25" s="55"/>
      <c r="W25" s="52"/>
      <c r="X25" s="54"/>
      <c r="Y25" s="53"/>
      <c r="Z25" s="51"/>
      <c r="AA25" s="55"/>
      <c r="AB25" s="52"/>
      <c r="AC25" s="54"/>
      <c r="AD25" s="51"/>
      <c r="AE25" s="20"/>
      <c r="AF25" s="53"/>
      <c r="AG25" s="51"/>
      <c r="AH25" s="52"/>
      <c r="AI25" s="52"/>
      <c r="AJ25" s="54"/>
      <c r="AK25" s="53"/>
      <c r="AL25" s="55"/>
      <c r="AM25" s="52"/>
      <c r="AN25" s="52"/>
      <c r="AO25" s="53"/>
    </row>
    <row r="26" spans="1:41" ht="18" thickBot="1">
      <c r="A26" s="150"/>
      <c r="B26" s="14" t="s">
        <v>37</v>
      </c>
      <c r="C26" s="16" t="s">
        <v>134</v>
      </c>
      <c r="D26" s="18" t="s">
        <v>18</v>
      </c>
      <c r="E26" s="16"/>
      <c r="F26" s="59" t="s">
        <v>42</v>
      </c>
      <c r="G26" s="59" t="s">
        <v>91</v>
      </c>
      <c r="H26" s="101">
        <v>1</v>
      </c>
      <c r="I26" s="25"/>
      <c r="J26" s="9"/>
      <c r="K26" s="77"/>
      <c r="L26" s="46"/>
      <c r="M26" s="47"/>
      <c r="N26" s="9"/>
      <c r="O26" s="9"/>
      <c r="P26" s="10"/>
      <c r="Q26" s="25"/>
      <c r="R26" s="9"/>
      <c r="S26" s="29"/>
      <c r="T26" s="10"/>
      <c r="U26" s="25"/>
      <c r="V26" s="12"/>
      <c r="W26" s="9"/>
      <c r="X26" s="29"/>
      <c r="Y26" s="10"/>
      <c r="Z26" s="25"/>
      <c r="AA26" s="12"/>
      <c r="AB26" s="9"/>
      <c r="AC26" s="29"/>
      <c r="AD26" s="25"/>
      <c r="AE26" s="16"/>
      <c r="AF26" s="10"/>
      <c r="AG26" s="25"/>
      <c r="AH26" s="9"/>
      <c r="AI26" s="9"/>
      <c r="AJ26" s="29"/>
      <c r="AK26" s="10"/>
      <c r="AL26" s="12"/>
      <c r="AM26" s="9"/>
      <c r="AN26" s="9"/>
      <c r="AO26" s="10"/>
    </row>
    <row r="27" spans="1:41">
      <c r="A27" s="130" t="s">
        <v>14</v>
      </c>
      <c r="B27" s="48" t="s">
        <v>57</v>
      </c>
      <c r="C27" s="50"/>
      <c r="D27" s="50"/>
      <c r="E27" s="50"/>
      <c r="F27" s="50" t="s">
        <v>50</v>
      </c>
      <c r="G27" s="50" t="s">
        <v>97</v>
      </c>
      <c r="H27" s="104">
        <f>AVERAGE(H28:H40)</f>
        <v>1</v>
      </c>
      <c r="I27" s="23"/>
      <c r="J27" s="6"/>
      <c r="K27" s="7"/>
      <c r="L27" s="32"/>
      <c r="M27" s="33"/>
      <c r="N27" s="33"/>
      <c r="O27" s="33"/>
      <c r="P27" s="34"/>
      <c r="Q27" s="32"/>
      <c r="R27" s="33"/>
      <c r="S27" s="37"/>
      <c r="T27" s="34"/>
      <c r="U27" s="32"/>
      <c r="V27" s="26"/>
      <c r="W27" s="6"/>
      <c r="X27" s="27"/>
      <c r="Y27" s="7"/>
      <c r="Z27" s="23" t="s">
        <v>96</v>
      </c>
      <c r="AA27" s="26"/>
      <c r="AB27" s="6"/>
      <c r="AC27" s="27"/>
      <c r="AD27" s="23"/>
      <c r="AE27" s="42"/>
      <c r="AF27" s="7"/>
      <c r="AG27" s="23"/>
      <c r="AH27" s="6"/>
      <c r="AI27" s="6"/>
      <c r="AJ27" s="27"/>
      <c r="AK27" s="7"/>
      <c r="AL27" s="26"/>
      <c r="AM27" s="6"/>
      <c r="AN27" s="6"/>
      <c r="AO27" s="7"/>
    </row>
    <row r="28" spans="1:41">
      <c r="A28" s="147"/>
      <c r="B28" s="84" t="s">
        <v>52</v>
      </c>
      <c r="C28" s="17"/>
      <c r="D28" s="17" t="s">
        <v>64</v>
      </c>
      <c r="E28" s="17"/>
      <c r="F28" s="17" t="s">
        <v>68</v>
      </c>
      <c r="G28" s="17" t="s">
        <v>69</v>
      </c>
      <c r="H28" s="105">
        <v>1</v>
      </c>
      <c r="I28" s="78"/>
      <c r="J28" s="79"/>
      <c r="K28" s="80"/>
      <c r="L28" s="87"/>
      <c r="M28" s="79"/>
      <c r="N28" s="79"/>
      <c r="O28" s="79"/>
      <c r="P28" s="80"/>
      <c r="Q28" s="78"/>
      <c r="R28" s="79"/>
      <c r="S28" s="81"/>
      <c r="T28" s="80"/>
      <c r="U28" s="78"/>
      <c r="V28" s="83"/>
      <c r="W28" s="79"/>
      <c r="X28" s="81"/>
      <c r="Y28" s="80"/>
      <c r="Z28" s="78"/>
      <c r="AA28" s="83"/>
      <c r="AB28" s="79"/>
      <c r="AC28" s="81"/>
      <c r="AD28" s="78"/>
      <c r="AE28" s="82"/>
      <c r="AF28" s="80"/>
      <c r="AG28" s="78"/>
      <c r="AH28" s="79"/>
      <c r="AI28" s="79"/>
      <c r="AJ28" s="81"/>
      <c r="AK28" s="80"/>
      <c r="AL28" s="83"/>
      <c r="AM28" s="79"/>
      <c r="AN28" s="79"/>
      <c r="AO28" s="80"/>
    </row>
    <row r="29" spans="1:41">
      <c r="A29" s="131"/>
      <c r="B29" s="13" t="s">
        <v>61</v>
      </c>
      <c r="C29" s="17"/>
      <c r="D29" s="17" t="s">
        <v>65</v>
      </c>
      <c r="E29" s="17"/>
      <c r="F29" s="17" t="s">
        <v>71</v>
      </c>
      <c r="G29" s="17" t="s">
        <v>92</v>
      </c>
      <c r="H29" s="105">
        <v>1</v>
      </c>
      <c r="I29" s="24"/>
      <c r="J29" s="5"/>
      <c r="K29" s="8"/>
      <c r="L29" s="24"/>
      <c r="M29" s="45"/>
      <c r="N29" s="45"/>
      <c r="O29" s="45"/>
      <c r="P29" s="85"/>
      <c r="Q29" s="24"/>
      <c r="R29" s="5"/>
      <c r="S29" s="28"/>
      <c r="T29" s="8"/>
      <c r="U29" s="24"/>
      <c r="V29" s="11"/>
      <c r="W29" s="5"/>
      <c r="X29" s="28"/>
      <c r="Y29" s="8"/>
      <c r="Z29" s="24"/>
      <c r="AA29" s="11"/>
      <c r="AB29" s="5"/>
      <c r="AC29" s="28"/>
      <c r="AD29" s="24"/>
      <c r="AE29" s="15"/>
      <c r="AF29" s="8"/>
      <c r="AG29" s="24"/>
      <c r="AH29" s="5"/>
      <c r="AI29" s="5"/>
      <c r="AJ29" s="28"/>
      <c r="AK29" s="8"/>
      <c r="AL29" s="11"/>
      <c r="AM29" s="5"/>
      <c r="AN29" s="5"/>
      <c r="AO29" s="8"/>
    </row>
    <row r="30" spans="1:41">
      <c r="A30" s="131"/>
      <c r="B30" s="13" t="s">
        <v>62</v>
      </c>
      <c r="C30" s="17"/>
      <c r="D30" s="17" t="s">
        <v>20</v>
      </c>
      <c r="E30" s="17"/>
      <c r="F30" s="17" t="s">
        <v>93</v>
      </c>
      <c r="G30" s="17" t="s">
        <v>94</v>
      </c>
      <c r="H30" s="105">
        <v>1</v>
      </c>
      <c r="I30" s="24"/>
      <c r="J30" s="5"/>
      <c r="K30" s="8"/>
      <c r="L30" s="24"/>
      <c r="M30" s="5"/>
      <c r="N30" s="45"/>
      <c r="O30" s="45"/>
      <c r="P30" s="85"/>
      <c r="Q30" s="24"/>
      <c r="R30" s="5"/>
      <c r="S30" s="28"/>
      <c r="T30" s="8"/>
      <c r="U30" s="24"/>
      <c r="V30" s="11"/>
      <c r="W30" s="5"/>
      <c r="X30" s="28"/>
      <c r="Y30" s="8"/>
      <c r="Z30" s="24"/>
      <c r="AA30" s="11"/>
      <c r="AB30" s="5"/>
      <c r="AC30" s="28"/>
      <c r="AD30" s="24"/>
      <c r="AE30" s="15"/>
      <c r="AF30" s="8"/>
      <c r="AG30" s="24"/>
      <c r="AH30" s="5"/>
      <c r="AI30" s="5"/>
      <c r="AJ30" s="28"/>
      <c r="AK30" s="8"/>
      <c r="AL30" s="11"/>
      <c r="AM30" s="5"/>
      <c r="AN30" s="5"/>
      <c r="AO30" s="8"/>
    </row>
    <row r="31" spans="1:41">
      <c r="A31" s="131"/>
      <c r="B31" s="13" t="s">
        <v>63</v>
      </c>
      <c r="C31" s="17"/>
      <c r="D31" s="17" t="s">
        <v>20</v>
      </c>
      <c r="E31" s="17"/>
      <c r="F31" s="17" t="s">
        <v>100</v>
      </c>
      <c r="G31" s="17" t="s">
        <v>99</v>
      </c>
      <c r="H31" s="105">
        <v>1</v>
      </c>
      <c r="I31" s="24"/>
      <c r="J31" s="5"/>
      <c r="K31" s="8"/>
      <c r="L31" s="24"/>
      <c r="M31" s="5"/>
      <c r="N31" s="5"/>
      <c r="O31" s="5"/>
      <c r="P31" s="8"/>
      <c r="Q31" s="44"/>
      <c r="R31" s="45"/>
      <c r="S31" s="89"/>
      <c r="T31" s="8"/>
      <c r="U31" s="24"/>
      <c r="V31" s="11"/>
      <c r="W31" s="5"/>
      <c r="X31" s="28"/>
      <c r="Y31" s="8"/>
      <c r="Z31" s="24"/>
      <c r="AA31" s="11"/>
      <c r="AB31" s="5"/>
      <c r="AC31" s="28"/>
      <c r="AD31" s="24"/>
      <c r="AE31" s="15"/>
      <c r="AF31" s="8"/>
      <c r="AG31" s="24"/>
      <c r="AH31" s="5"/>
      <c r="AI31" s="5"/>
      <c r="AJ31" s="28"/>
      <c r="AK31" s="8"/>
      <c r="AL31" s="11"/>
      <c r="AM31" s="5"/>
      <c r="AN31" s="5"/>
      <c r="AO31" s="8"/>
    </row>
    <row r="32" spans="1:41" ht="16.75" customHeight="1">
      <c r="A32" s="131"/>
      <c r="B32" s="13" t="s">
        <v>122</v>
      </c>
      <c r="C32" s="17"/>
      <c r="D32" s="17" t="s">
        <v>20</v>
      </c>
      <c r="E32" s="17"/>
      <c r="F32" s="17" t="s">
        <v>103</v>
      </c>
      <c r="G32" s="17" t="s">
        <v>99</v>
      </c>
      <c r="H32" s="105">
        <v>1</v>
      </c>
      <c r="I32" s="24"/>
      <c r="J32" s="5"/>
      <c r="K32" s="8"/>
      <c r="L32" s="24"/>
      <c r="M32" s="5"/>
      <c r="N32" s="5"/>
      <c r="O32" s="5"/>
      <c r="P32" s="8"/>
      <c r="Q32" s="44"/>
      <c r="R32" s="45"/>
      <c r="S32" s="89"/>
      <c r="T32" s="8"/>
      <c r="U32" s="24"/>
      <c r="V32" s="11"/>
      <c r="W32" s="5"/>
      <c r="X32" s="28"/>
      <c r="Y32" s="8"/>
      <c r="Z32" s="24"/>
      <c r="AA32" s="11"/>
      <c r="AB32" s="5"/>
      <c r="AC32" s="28"/>
      <c r="AD32" s="24"/>
      <c r="AE32" s="15"/>
      <c r="AF32" s="8"/>
      <c r="AG32" s="24"/>
      <c r="AH32" s="5"/>
      <c r="AI32" s="5"/>
      <c r="AJ32" s="28"/>
      <c r="AK32" s="8"/>
      <c r="AL32" s="11"/>
      <c r="AM32" s="5"/>
      <c r="AN32" s="5"/>
      <c r="AO32" s="8"/>
    </row>
    <row r="33" spans="1:41" ht="16.75" customHeight="1">
      <c r="A33" s="131"/>
      <c r="B33" s="13" t="s">
        <v>144</v>
      </c>
      <c r="C33" s="17"/>
      <c r="D33" s="17" t="s">
        <v>75</v>
      </c>
      <c r="E33" s="17"/>
      <c r="F33" s="17" t="s">
        <v>71</v>
      </c>
      <c r="G33" s="17" t="s">
        <v>99</v>
      </c>
      <c r="H33" s="105">
        <v>1</v>
      </c>
      <c r="I33" s="51"/>
      <c r="J33" s="52"/>
      <c r="K33" s="53"/>
      <c r="L33" s="51"/>
      <c r="M33" s="86"/>
      <c r="N33" s="86"/>
      <c r="O33" s="86"/>
      <c r="P33" s="94"/>
      <c r="Q33" s="95"/>
      <c r="R33" s="86"/>
      <c r="S33" s="93"/>
      <c r="T33" s="53"/>
      <c r="U33" s="51"/>
      <c r="V33" s="55"/>
      <c r="W33" s="52"/>
      <c r="X33" s="54"/>
      <c r="Y33" s="53"/>
      <c r="Z33" s="51"/>
      <c r="AA33" s="55"/>
      <c r="AB33" s="52"/>
      <c r="AC33" s="54"/>
      <c r="AD33" s="51"/>
      <c r="AE33" s="20"/>
      <c r="AF33" s="53"/>
      <c r="AG33" s="51"/>
      <c r="AH33" s="52"/>
      <c r="AI33" s="52"/>
      <c r="AJ33" s="54"/>
      <c r="AK33" s="53"/>
      <c r="AL33" s="55"/>
      <c r="AM33" s="52"/>
      <c r="AN33" s="52"/>
      <c r="AO33" s="53"/>
    </row>
    <row r="34" spans="1:41" ht="16.75" customHeight="1">
      <c r="A34" s="131"/>
      <c r="B34" s="13" t="s">
        <v>145</v>
      </c>
      <c r="C34" s="17"/>
      <c r="D34" s="17" t="s">
        <v>18</v>
      </c>
      <c r="E34" s="17"/>
      <c r="F34" s="17" t="s">
        <v>90</v>
      </c>
      <c r="G34" s="17" t="s">
        <v>99</v>
      </c>
      <c r="H34" s="105">
        <v>1</v>
      </c>
      <c r="I34" s="51"/>
      <c r="J34" s="52"/>
      <c r="K34" s="53"/>
      <c r="L34" s="51"/>
      <c r="M34" s="52"/>
      <c r="N34" s="52"/>
      <c r="O34" s="52"/>
      <c r="P34" s="94"/>
      <c r="Q34" s="95"/>
      <c r="R34" s="45"/>
      <c r="S34" s="93"/>
      <c r="T34" s="53"/>
      <c r="U34" s="51"/>
      <c r="V34" s="55"/>
      <c r="W34" s="52"/>
      <c r="X34" s="54"/>
      <c r="Y34" s="53"/>
      <c r="Z34" s="51"/>
      <c r="AA34" s="55"/>
      <c r="AB34" s="52"/>
      <c r="AC34" s="54"/>
      <c r="AD34" s="51"/>
      <c r="AE34" s="20"/>
      <c r="AF34" s="53"/>
      <c r="AG34" s="51"/>
      <c r="AH34" s="52"/>
      <c r="AI34" s="52"/>
      <c r="AJ34" s="54"/>
      <c r="AK34" s="53"/>
      <c r="AL34" s="55"/>
      <c r="AM34" s="52"/>
      <c r="AN34" s="52"/>
      <c r="AO34" s="53"/>
    </row>
    <row r="35" spans="1:41">
      <c r="A35" s="131"/>
      <c r="B35" s="13" t="s">
        <v>77</v>
      </c>
      <c r="C35" s="17"/>
      <c r="D35" s="17" t="s">
        <v>66</v>
      </c>
      <c r="E35" s="17"/>
      <c r="F35" s="17" t="s">
        <v>100</v>
      </c>
      <c r="G35" s="17" t="s">
        <v>73</v>
      </c>
      <c r="H35" s="105">
        <v>1</v>
      </c>
      <c r="I35" s="24"/>
      <c r="J35" s="5"/>
      <c r="K35" s="8"/>
      <c r="L35" s="24"/>
      <c r="M35" s="5"/>
      <c r="N35" s="5"/>
      <c r="O35" s="5"/>
      <c r="P35" s="8"/>
      <c r="Q35" s="45"/>
      <c r="R35" s="63"/>
      <c r="S35" s="89"/>
      <c r="T35" s="85"/>
      <c r="U35" s="24"/>
      <c r="V35" s="11"/>
      <c r="W35" s="5"/>
      <c r="X35" s="28"/>
      <c r="Y35" s="8"/>
      <c r="Z35" s="24"/>
      <c r="AA35" s="11"/>
      <c r="AB35" s="5"/>
      <c r="AC35" s="28"/>
      <c r="AD35" s="24"/>
      <c r="AE35" s="15"/>
      <c r="AF35" s="8"/>
      <c r="AG35" s="24"/>
      <c r="AH35" s="5"/>
      <c r="AI35" s="5"/>
      <c r="AJ35" s="28"/>
      <c r="AK35" s="8"/>
      <c r="AL35" s="11"/>
      <c r="AM35" s="5"/>
      <c r="AN35" s="5"/>
      <c r="AO35" s="8"/>
    </row>
    <row r="36" spans="1:41">
      <c r="A36" s="131"/>
      <c r="B36" s="13" t="s">
        <v>165</v>
      </c>
      <c r="C36" s="17"/>
      <c r="D36" s="17" t="s">
        <v>64</v>
      </c>
      <c r="E36" s="17"/>
      <c r="F36" s="17" t="s">
        <v>95</v>
      </c>
      <c r="G36" s="17" t="s">
        <v>98</v>
      </c>
      <c r="H36" s="105">
        <v>1</v>
      </c>
      <c r="I36" s="24"/>
      <c r="J36" s="5"/>
      <c r="K36" s="8"/>
      <c r="L36" s="24"/>
      <c r="M36" s="5"/>
      <c r="N36" s="5"/>
      <c r="O36" s="5"/>
      <c r="P36" s="8"/>
      <c r="Q36" s="24"/>
      <c r="R36" s="45"/>
      <c r="S36" s="89"/>
      <c r="T36" s="85"/>
      <c r="U36" s="24"/>
      <c r="V36" s="11"/>
      <c r="W36" s="5"/>
      <c r="X36" s="5"/>
      <c r="Y36" s="8"/>
      <c r="Z36" s="24"/>
      <c r="AA36" s="11"/>
      <c r="AB36" s="5"/>
      <c r="AC36" s="8"/>
      <c r="AD36" s="24"/>
      <c r="AE36" s="15"/>
      <c r="AF36" s="8"/>
      <c r="AG36" s="24"/>
      <c r="AH36" s="5"/>
      <c r="AI36" s="5"/>
      <c r="AJ36" s="28"/>
      <c r="AK36" s="8"/>
      <c r="AL36" s="24"/>
      <c r="AM36" s="5"/>
      <c r="AN36" s="5"/>
      <c r="AO36" s="8"/>
    </row>
    <row r="37" spans="1:41">
      <c r="A37" s="131"/>
      <c r="B37" s="13" t="s">
        <v>146</v>
      </c>
      <c r="C37" s="17" t="s">
        <v>124</v>
      </c>
      <c r="D37" s="17" t="s">
        <v>38</v>
      </c>
      <c r="E37" s="17"/>
      <c r="F37" s="17" t="s">
        <v>100</v>
      </c>
      <c r="G37" s="17" t="s">
        <v>95</v>
      </c>
      <c r="H37" s="105">
        <v>1</v>
      </c>
      <c r="I37" s="24"/>
      <c r="J37" s="5"/>
      <c r="K37" s="8"/>
      <c r="L37" s="24"/>
      <c r="M37" s="5"/>
      <c r="N37" s="5"/>
      <c r="O37" s="5"/>
      <c r="P37" s="8"/>
      <c r="Q37" s="44"/>
      <c r="R37" s="45"/>
      <c r="S37" s="28"/>
      <c r="T37" s="8"/>
      <c r="U37" s="24"/>
      <c r="V37" s="11"/>
      <c r="W37" s="5"/>
      <c r="X37" s="5"/>
      <c r="Y37" s="8"/>
      <c r="Z37" s="24"/>
      <c r="AA37" s="11"/>
      <c r="AB37" s="5"/>
      <c r="AC37" s="8"/>
      <c r="AD37" s="24"/>
      <c r="AE37" s="15"/>
      <c r="AF37" s="8"/>
      <c r="AG37" s="24"/>
      <c r="AH37" s="5"/>
      <c r="AI37" s="5"/>
      <c r="AJ37" s="28"/>
      <c r="AK37" s="8"/>
      <c r="AL37" s="24"/>
      <c r="AM37" s="5"/>
      <c r="AN37" s="5"/>
      <c r="AO37" s="8"/>
    </row>
    <row r="38" spans="1:41">
      <c r="A38" s="131"/>
      <c r="B38" s="13" t="s">
        <v>147</v>
      </c>
      <c r="C38" s="17" t="s">
        <v>125</v>
      </c>
      <c r="D38" s="17" t="s">
        <v>38</v>
      </c>
      <c r="E38" s="17"/>
      <c r="F38" s="17" t="s">
        <v>101</v>
      </c>
      <c r="G38" s="17" t="s">
        <v>102</v>
      </c>
      <c r="H38" s="105">
        <v>1</v>
      </c>
      <c r="I38" s="24"/>
      <c r="J38" s="5"/>
      <c r="K38" s="8"/>
      <c r="L38" s="24"/>
      <c r="M38" s="5"/>
      <c r="N38" s="5"/>
      <c r="O38" s="5"/>
      <c r="P38" s="8"/>
      <c r="Q38" s="44"/>
      <c r="R38" s="45"/>
      <c r="S38" s="28"/>
      <c r="T38" s="8"/>
      <c r="U38" s="24"/>
      <c r="V38" s="11"/>
      <c r="W38" s="5"/>
      <c r="X38" s="5"/>
      <c r="Y38" s="8"/>
      <c r="Z38" s="24"/>
      <c r="AA38" s="11"/>
      <c r="AB38" s="5"/>
      <c r="AC38" s="8"/>
      <c r="AD38" s="24"/>
      <c r="AE38" s="15"/>
      <c r="AF38" s="8"/>
      <c r="AG38" s="24"/>
      <c r="AH38" s="5"/>
      <c r="AI38" s="5"/>
      <c r="AJ38" s="28"/>
      <c r="AK38" s="8"/>
      <c r="AL38" s="24"/>
      <c r="AM38" s="5"/>
      <c r="AN38" s="5"/>
      <c r="AO38" s="8"/>
    </row>
    <row r="39" spans="1:41">
      <c r="A39" s="131"/>
      <c r="B39" s="13" t="s">
        <v>148</v>
      </c>
      <c r="C39" s="17" t="s">
        <v>126</v>
      </c>
      <c r="D39" s="17" t="s">
        <v>38</v>
      </c>
      <c r="E39" s="17"/>
      <c r="F39" s="17" t="s">
        <v>99</v>
      </c>
      <c r="G39" s="17" t="s">
        <v>73</v>
      </c>
      <c r="H39" s="105">
        <v>1</v>
      </c>
      <c r="I39" s="24"/>
      <c r="J39" s="5"/>
      <c r="K39" s="8"/>
      <c r="L39" s="24"/>
      <c r="M39" s="5"/>
      <c r="N39" s="5"/>
      <c r="O39" s="5"/>
      <c r="P39" s="8"/>
      <c r="Q39" s="24"/>
      <c r="R39" s="5"/>
      <c r="S39" s="89"/>
      <c r="T39" s="85"/>
      <c r="U39" s="24"/>
      <c r="V39" s="11"/>
      <c r="W39" s="5"/>
      <c r="X39" s="5"/>
      <c r="Y39" s="8"/>
      <c r="Z39" s="24"/>
      <c r="AA39" s="11"/>
      <c r="AB39" s="5"/>
      <c r="AC39" s="8"/>
      <c r="AD39" s="24"/>
      <c r="AE39" s="15"/>
      <c r="AF39" s="8"/>
      <c r="AG39" s="24"/>
      <c r="AH39" s="5"/>
      <c r="AI39" s="5"/>
      <c r="AJ39" s="28"/>
      <c r="AK39" s="8"/>
      <c r="AL39" s="24"/>
      <c r="AM39" s="5"/>
      <c r="AN39" s="5"/>
      <c r="AO39" s="8"/>
    </row>
    <row r="40" spans="1:41" ht="18" thickBot="1">
      <c r="A40" s="131"/>
      <c r="B40" s="19" t="s">
        <v>149</v>
      </c>
      <c r="C40" s="21" t="s">
        <v>127</v>
      </c>
      <c r="D40" s="21" t="s">
        <v>75</v>
      </c>
      <c r="E40" s="21"/>
      <c r="F40" s="17" t="s">
        <v>99</v>
      </c>
      <c r="G40" s="17" t="s">
        <v>98</v>
      </c>
      <c r="H40" s="106">
        <v>1</v>
      </c>
      <c r="I40" s="51"/>
      <c r="J40" s="52"/>
      <c r="K40" s="53"/>
      <c r="L40" s="51"/>
      <c r="M40" s="52"/>
      <c r="N40" s="52"/>
      <c r="O40" s="52"/>
      <c r="P40" s="53"/>
      <c r="Q40" s="51"/>
      <c r="R40" s="52"/>
      <c r="S40" s="93"/>
      <c r="T40" s="94"/>
      <c r="U40" s="51"/>
      <c r="V40" s="55"/>
      <c r="W40" s="52"/>
      <c r="X40" s="52"/>
      <c r="Y40" s="53"/>
      <c r="Z40" s="51"/>
      <c r="AA40" s="55"/>
      <c r="AB40" s="52"/>
      <c r="AC40" s="53"/>
      <c r="AD40" s="51"/>
      <c r="AE40" s="20"/>
      <c r="AF40" s="53"/>
      <c r="AG40" s="51"/>
      <c r="AH40" s="52"/>
      <c r="AI40" s="52"/>
      <c r="AJ40" s="54"/>
      <c r="AK40" s="53"/>
      <c r="AL40" s="51"/>
      <c r="AM40" s="52"/>
      <c r="AN40" s="52"/>
      <c r="AO40" s="53"/>
    </row>
    <row r="41" spans="1:41">
      <c r="A41" s="148"/>
      <c r="B41" s="48" t="s">
        <v>59</v>
      </c>
      <c r="C41" s="49"/>
      <c r="D41" s="50"/>
      <c r="E41" s="49"/>
      <c r="F41" s="62" t="s">
        <v>95</v>
      </c>
      <c r="G41" s="62" t="s">
        <v>72</v>
      </c>
      <c r="H41" s="99">
        <f>AVERAGE(H42:H47)</f>
        <v>1</v>
      </c>
      <c r="I41" s="23"/>
      <c r="J41" s="6"/>
      <c r="K41" s="27"/>
      <c r="L41" s="23"/>
      <c r="M41" s="6"/>
      <c r="N41" s="6"/>
      <c r="O41" s="6"/>
      <c r="P41" s="7"/>
      <c r="Q41" s="26"/>
      <c r="R41" s="33"/>
      <c r="S41" s="33"/>
      <c r="T41" s="37"/>
      <c r="U41" s="32"/>
      <c r="V41" s="26"/>
      <c r="W41" s="6"/>
      <c r="X41" s="6"/>
      <c r="Y41" s="7"/>
      <c r="Z41" s="26"/>
      <c r="AA41" s="26"/>
      <c r="AB41" s="6"/>
      <c r="AC41" s="27"/>
      <c r="AD41" s="23"/>
      <c r="AE41" s="6"/>
      <c r="AF41" s="7"/>
      <c r="AG41" s="26"/>
      <c r="AH41" s="6"/>
      <c r="AI41" s="6"/>
      <c r="AJ41" s="6"/>
      <c r="AK41" s="27"/>
      <c r="AL41" s="23"/>
      <c r="AM41" s="6"/>
      <c r="AN41" s="6"/>
      <c r="AO41" s="7"/>
    </row>
    <row r="42" spans="1:41">
      <c r="A42" s="148"/>
      <c r="B42" s="13" t="s">
        <v>53</v>
      </c>
      <c r="C42" s="15"/>
      <c r="D42" s="17" t="s">
        <v>18</v>
      </c>
      <c r="E42" s="15"/>
      <c r="F42" s="58" t="s">
        <v>95</v>
      </c>
      <c r="G42" s="58" t="s">
        <v>95</v>
      </c>
      <c r="H42" s="100">
        <v>1</v>
      </c>
      <c r="I42" s="24"/>
      <c r="J42" s="5"/>
      <c r="K42" s="28"/>
      <c r="L42" s="24"/>
      <c r="M42" s="5"/>
      <c r="N42" s="5"/>
      <c r="O42" s="5"/>
      <c r="P42" s="8"/>
      <c r="Q42" s="11"/>
      <c r="R42" s="45"/>
      <c r="S42" s="5"/>
      <c r="T42" s="28"/>
      <c r="U42" s="24"/>
      <c r="V42" s="11"/>
      <c r="W42" s="5"/>
      <c r="X42" s="5"/>
      <c r="Y42" s="8"/>
      <c r="Z42" s="11"/>
      <c r="AA42" s="11"/>
      <c r="AB42" s="5"/>
      <c r="AC42" s="28"/>
      <c r="AD42" s="24"/>
      <c r="AE42" s="5"/>
      <c r="AF42" s="8"/>
      <c r="AG42" s="11"/>
      <c r="AH42" s="5"/>
      <c r="AI42" s="5"/>
      <c r="AJ42" s="5"/>
      <c r="AK42" s="28"/>
      <c r="AL42" s="24"/>
      <c r="AM42" s="5"/>
      <c r="AN42" s="5"/>
      <c r="AO42" s="8"/>
    </row>
    <row r="43" spans="1:41">
      <c r="A43" s="148"/>
      <c r="B43" s="13" t="s">
        <v>78</v>
      </c>
      <c r="C43" s="15"/>
      <c r="D43" s="17" t="s">
        <v>20</v>
      </c>
      <c r="E43" s="15"/>
      <c r="F43" s="58" t="s">
        <v>95</v>
      </c>
      <c r="G43" s="58" t="s">
        <v>107</v>
      </c>
      <c r="H43" s="100">
        <v>1</v>
      </c>
      <c r="I43" s="24"/>
      <c r="J43" s="5"/>
      <c r="K43" s="28"/>
      <c r="L43" s="24"/>
      <c r="M43" s="5"/>
      <c r="N43" s="5"/>
      <c r="O43" s="5"/>
      <c r="P43" s="8"/>
      <c r="Q43" s="11"/>
      <c r="R43" s="45"/>
      <c r="S43" s="45"/>
      <c r="T43" s="89"/>
      <c r="U43" s="24"/>
      <c r="V43" s="11"/>
      <c r="W43" s="5"/>
      <c r="X43" s="5"/>
      <c r="Y43" s="8"/>
      <c r="Z43" s="11"/>
      <c r="AA43" s="11"/>
      <c r="AB43" s="5"/>
      <c r="AC43" s="28"/>
      <c r="AD43" s="24"/>
      <c r="AE43" s="5"/>
      <c r="AF43" s="8"/>
      <c r="AG43" s="11"/>
      <c r="AH43" s="5"/>
      <c r="AI43" s="5"/>
      <c r="AJ43" s="5"/>
      <c r="AK43" s="28"/>
      <c r="AL43" s="24"/>
      <c r="AM43" s="5"/>
      <c r="AN43" s="5"/>
      <c r="AO43" s="8"/>
    </row>
    <row r="44" spans="1:41">
      <c r="A44" s="148"/>
      <c r="B44" s="13" t="s">
        <v>143</v>
      </c>
      <c r="C44" s="15"/>
      <c r="D44" s="17" t="s">
        <v>75</v>
      </c>
      <c r="E44" s="15"/>
      <c r="F44" s="58" t="s">
        <v>95</v>
      </c>
      <c r="G44" s="58" t="s">
        <v>73</v>
      </c>
      <c r="H44" s="100">
        <v>1</v>
      </c>
      <c r="I44" s="24"/>
      <c r="J44" s="5"/>
      <c r="K44" s="28"/>
      <c r="L44" s="24"/>
      <c r="M44" s="5"/>
      <c r="N44" s="5"/>
      <c r="O44" s="5"/>
      <c r="P44" s="8"/>
      <c r="Q44" s="11"/>
      <c r="R44" s="45"/>
      <c r="S44" s="45"/>
      <c r="T44" s="89"/>
      <c r="U44" s="24"/>
      <c r="V44" s="11"/>
      <c r="W44" s="5"/>
      <c r="X44" s="5"/>
      <c r="Y44" s="8"/>
      <c r="Z44" s="11"/>
      <c r="AA44" s="11"/>
      <c r="AB44" s="5"/>
      <c r="AC44" s="28"/>
      <c r="AD44" s="24"/>
      <c r="AE44" s="5"/>
      <c r="AF44" s="8"/>
      <c r="AG44" s="11"/>
      <c r="AH44" s="5"/>
      <c r="AI44" s="5"/>
      <c r="AJ44" s="5"/>
      <c r="AK44" s="28"/>
      <c r="AL44" s="24"/>
      <c r="AM44" s="5"/>
      <c r="AN44" s="5"/>
      <c r="AO44" s="8"/>
    </row>
    <row r="45" spans="1:41">
      <c r="A45" s="148"/>
      <c r="B45" s="13" t="s">
        <v>150</v>
      </c>
      <c r="C45" s="15"/>
      <c r="D45" s="17" t="s">
        <v>18</v>
      </c>
      <c r="E45" s="15"/>
      <c r="F45" s="58" t="s">
        <v>108</v>
      </c>
      <c r="G45" s="58" t="s">
        <v>109</v>
      </c>
      <c r="H45" s="100">
        <v>1</v>
      </c>
      <c r="I45" s="24"/>
      <c r="J45" s="5"/>
      <c r="K45" s="28"/>
      <c r="L45" s="24"/>
      <c r="M45" s="5"/>
      <c r="N45" s="5"/>
      <c r="O45" s="5"/>
      <c r="P45" s="8"/>
      <c r="Q45" s="11"/>
      <c r="R45" s="5"/>
      <c r="S45" s="5"/>
      <c r="T45" s="28"/>
      <c r="U45" s="44"/>
      <c r="V45" s="11"/>
      <c r="W45" s="5"/>
      <c r="X45" s="5"/>
      <c r="Y45" s="8"/>
      <c r="Z45" s="11"/>
      <c r="AA45" s="11"/>
      <c r="AB45" s="5"/>
      <c r="AC45" s="28"/>
      <c r="AD45" s="24"/>
      <c r="AE45" s="5"/>
      <c r="AF45" s="8"/>
      <c r="AG45" s="11"/>
      <c r="AH45" s="5"/>
      <c r="AI45" s="5"/>
      <c r="AJ45" s="5"/>
      <c r="AK45" s="28"/>
      <c r="AL45" s="24"/>
      <c r="AM45" s="5"/>
      <c r="AN45" s="5"/>
      <c r="AO45" s="8"/>
    </row>
    <row r="46" spans="1:41">
      <c r="A46" s="148"/>
      <c r="B46" s="13" t="s">
        <v>79</v>
      </c>
      <c r="C46" s="15"/>
      <c r="D46" s="17" t="s">
        <v>40</v>
      </c>
      <c r="E46" s="15"/>
      <c r="F46" s="58" t="s">
        <v>72</v>
      </c>
      <c r="G46" s="58" t="s">
        <v>105</v>
      </c>
      <c r="H46" s="100">
        <v>1</v>
      </c>
      <c r="I46" s="24"/>
      <c r="J46" s="5"/>
      <c r="K46" s="28"/>
      <c r="L46" s="24"/>
      <c r="M46" s="5"/>
      <c r="N46" s="5"/>
      <c r="O46" s="5"/>
      <c r="P46" s="8"/>
      <c r="Q46" s="11"/>
      <c r="R46" s="5"/>
      <c r="S46" s="5"/>
      <c r="T46" s="28"/>
      <c r="U46" s="44"/>
      <c r="V46" s="11"/>
      <c r="W46" s="5"/>
      <c r="X46" s="5"/>
      <c r="Y46" s="8"/>
      <c r="Z46" s="11"/>
      <c r="AA46" s="11"/>
      <c r="AB46" s="5"/>
      <c r="AC46" s="28"/>
      <c r="AD46" s="24"/>
      <c r="AE46" s="5"/>
      <c r="AF46" s="8"/>
      <c r="AG46" s="11"/>
      <c r="AH46" s="5"/>
      <c r="AI46" s="5"/>
      <c r="AJ46" s="5"/>
      <c r="AK46" s="28"/>
      <c r="AL46" s="24"/>
      <c r="AM46" s="5"/>
      <c r="AN46" s="5"/>
      <c r="AO46" s="8"/>
    </row>
    <row r="47" spans="1:41" ht="18" thickBot="1">
      <c r="A47" s="148"/>
      <c r="B47" s="14" t="s">
        <v>141</v>
      </c>
      <c r="C47" s="16" t="s">
        <v>123</v>
      </c>
      <c r="D47" s="18" t="s">
        <v>18</v>
      </c>
      <c r="E47" s="16"/>
      <c r="F47" s="60" t="s">
        <v>110</v>
      </c>
      <c r="G47" s="60" t="s">
        <v>106</v>
      </c>
      <c r="H47" s="101">
        <v>1</v>
      </c>
      <c r="I47" s="25"/>
      <c r="J47" s="9"/>
      <c r="K47" s="29"/>
      <c r="L47" s="25"/>
      <c r="M47" s="9"/>
      <c r="N47" s="9"/>
      <c r="O47" s="9"/>
      <c r="P47" s="10"/>
      <c r="Q47" s="12"/>
      <c r="R47" s="9"/>
      <c r="S47" s="9"/>
      <c r="T47" s="29"/>
      <c r="U47" s="46"/>
      <c r="V47" s="12"/>
      <c r="W47" s="9"/>
      <c r="X47" s="9"/>
      <c r="Y47" s="10"/>
      <c r="Z47" s="12"/>
      <c r="AA47" s="12"/>
      <c r="AB47" s="9"/>
      <c r="AC47" s="29"/>
      <c r="AD47" s="25"/>
      <c r="AE47" s="9"/>
      <c r="AF47" s="10"/>
      <c r="AG47" s="12"/>
      <c r="AH47" s="9"/>
      <c r="AI47" s="9"/>
      <c r="AJ47" s="9"/>
      <c r="AK47" s="29"/>
      <c r="AL47" s="25"/>
      <c r="AM47" s="9"/>
      <c r="AN47" s="9"/>
      <c r="AO47" s="10"/>
    </row>
    <row r="48" spans="1:41">
      <c r="A48" s="131"/>
      <c r="B48" s="48" t="s">
        <v>121</v>
      </c>
      <c r="C48" s="49"/>
      <c r="D48" s="50"/>
      <c r="E48" s="49"/>
      <c r="F48" s="62" t="s">
        <v>111</v>
      </c>
      <c r="G48" s="62" t="s">
        <v>51</v>
      </c>
      <c r="H48" s="99">
        <f>AVERAGE(H49:H54)</f>
        <v>1</v>
      </c>
      <c r="I48" s="23"/>
      <c r="J48" s="6"/>
      <c r="K48" s="7"/>
      <c r="L48" s="23"/>
      <c r="M48" s="6"/>
      <c r="N48" s="6"/>
      <c r="O48" s="6"/>
      <c r="P48" s="7"/>
      <c r="Q48" s="23"/>
      <c r="R48" s="6"/>
      <c r="S48" s="27"/>
      <c r="T48" s="7"/>
      <c r="U48" s="23"/>
      <c r="V48" s="96"/>
      <c r="W48" s="33"/>
      <c r="X48" s="37"/>
      <c r="Y48" s="34"/>
      <c r="Z48" s="32"/>
      <c r="AA48" s="96"/>
      <c r="AB48" s="6"/>
      <c r="AC48" s="27"/>
      <c r="AD48" s="23"/>
      <c r="AE48" s="42"/>
      <c r="AF48" s="7"/>
      <c r="AG48" s="23"/>
      <c r="AH48" s="6"/>
      <c r="AI48" s="6"/>
      <c r="AJ48" s="27"/>
      <c r="AK48" s="7"/>
      <c r="AL48" s="26"/>
      <c r="AM48" s="6"/>
      <c r="AN48" s="6"/>
      <c r="AO48" s="7"/>
    </row>
    <row r="49" spans="1:41">
      <c r="A49" s="131"/>
      <c r="B49" s="13" t="s">
        <v>67</v>
      </c>
      <c r="C49" s="15"/>
      <c r="D49" s="17" t="s">
        <v>18</v>
      </c>
      <c r="E49" s="15"/>
      <c r="F49" s="58" t="s">
        <v>112</v>
      </c>
      <c r="G49" s="58" t="s">
        <v>111</v>
      </c>
      <c r="H49" s="100">
        <v>1</v>
      </c>
      <c r="I49" s="24"/>
      <c r="J49" s="5"/>
      <c r="K49" s="8"/>
      <c r="L49" s="24"/>
      <c r="M49" s="5"/>
      <c r="N49" s="5"/>
      <c r="O49" s="5"/>
      <c r="P49" s="8"/>
      <c r="Q49" s="24"/>
      <c r="R49" s="5"/>
      <c r="S49" s="28"/>
      <c r="T49" s="8"/>
      <c r="U49" s="24"/>
      <c r="V49" s="97"/>
      <c r="W49" s="5"/>
      <c r="X49" s="28"/>
      <c r="Y49" s="8"/>
      <c r="Z49" s="24"/>
      <c r="AA49" s="11"/>
      <c r="AB49" s="5"/>
      <c r="AC49" s="28"/>
      <c r="AD49" s="24"/>
      <c r="AE49" s="15"/>
      <c r="AF49" s="8"/>
      <c r="AG49" s="24"/>
      <c r="AH49" s="5"/>
      <c r="AI49" s="5"/>
      <c r="AJ49" s="28"/>
      <c r="AK49" s="8"/>
      <c r="AL49" s="11"/>
      <c r="AM49" s="5"/>
      <c r="AN49" s="5"/>
      <c r="AO49" s="8"/>
    </row>
    <row r="50" spans="1:41">
      <c r="A50" s="131"/>
      <c r="B50" s="13" t="s">
        <v>80</v>
      </c>
      <c r="C50" s="15"/>
      <c r="D50" s="17" t="s">
        <v>20</v>
      </c>
      <c r="E50" s="15"/>
      <c r="F50" s="58" t="s">
        <v>111</v>
      </c>
      <c r="G50" s="58" t="s">
        <v>113</v>
      </c>
      <c r="H50" s="100">
        <v>1</v>
      </c>
      <c r="I50" s="24"/>
      <c r="J50" s="5"/>
      <c r="K50" s="8"/>
      <c r="L50" s="24"/>
      <c r="M50" s="5"/>
      <c r="N50" s="5"/>
      <c r="O50" s="5"/>
      <c r="P50" s="8"/>
      <c r="Q50" s="24"/>
      <c r="R50" s="5"/>
      <c r="S50" s="28"/>
      <c r="T50" s="8"/>
      <c r="U50" s="24"/>
      <c r="V50" s="97"/>
      <c r="W50" s="45"/>
      <c r="X50" s="89"/>
      <c r="Y50" s="8"/>
      <c r="Z50" s="24"/>
      <c r="AA50" s="11"/>
      <c r="AB50" s="5"/>
      <c r="AC50" s="28"/>
      <c r="AD50" s="24"/>
      <c r="AE50" s="15"/>
      <c r="AF50" s="8"/>
      <c r="AG50" s="24"/>
      <c r="AH50" s="5"/>
      <c r="AI50" s="5"/>
      <c r="AJ50" s="28"/>
      <c r="AK50" s="8"/>
      <c r="AL50" s="11"/>
      <c r="AM50" s="5"/>
      <c r="AN50" s="5"/>
      <c r="AO50" s="8"/>
    </row>
    <row r="51" spans="1:41">
      <c r="A51" s="131"/>
      <c r="B51" s="13" t="s">
        <v>151</v>
      </c>
      <c r="C51" s="15"/>
      <c r="D51" s="17" t="s">
        <v>89</v>
      </c>
      <c r="E51" s="15"/>
      <c r="F51" s="58" t="s">
        <v>111</v>
      </c>
      <c r="G51" s="58" t="s">
        <v>113</v>
      </c>
      <c r="H51" s="100">
        <v>1</v>
      </c>
      <c r="I51" s="24"/>
      <c r="J51" s="5"/>
      <c r="K51" s="8"/>
      <c r="L51" s="24"/>
      <c r="M51" s="5"/>
      <c r="N51" s="5"/>
      <c r="O51" s="5"/>
      <c r="P51" s="8"/>
      <c r="Q51" s="24"/>
      <c r="R51" s="5"/>
      <c r="S51" s="28"/>
      <c r="T51" s="8"/>
      <c r="U51" s="24"/>
      <c r="V51" s="97"/>
      <c r="W51" s="45"/>
      <c r="X51" s="89"/>
      <c r="Y51" s="8"/>
      <c r="Z51" s="24"/>
      <c r="AA51" s="11"/>
      <c r="AB51" s="5"/>
      <c r="AC51" s="28"/>
      <c r="AD51" s="24"/>
      <c r="AE51" s="15"/>
      <c r="AF51" s="8"/>
      <c r="AG51" s="24"/>
      <c r="AH51" s="5"/>
      <c r="AI51" s="5"/>
      <c r="AJ51" s="28"/>
      <c r="AK51" s="8"/>
      <c r="AL51" s="11"/>
      <c r="AM51" s="5"/>
      <c r="AN51" s="5"/>
      <c r="AO51" s="8"/>
    </row>
    <row r="52" spans="1:41">
      <c r="A52" s="131"/>
      <c r="B52" s="13" t="s">
        <v>152</v>
      </c>
      <c r="C52" s="15"/>
      <c r="D52" s="17" t="s">
        <v>18</v>
      </c>
      <c r="E52" s="15"/>
      <c r="F52" s="58" t="s">
        <v>104</v>
      </c>
      <c r="G52" s="58" t="s">
        <v>104</v>
      </c>
      <c r="H52" s="100">
        <v>1</v>
      </c>
      <c r="I52" s="24"/>
      <c r="J52" s="5"/>
      <c r="K52" s="8"/>
      <c r="L52" s="24"/>
      <c r="M52" s="5"/>
      <c r="N52" s="5"/>
      <c r="O52" s="5"/>
      <c r="P52" s="8"/>
      <c r="Q52" s="24"/>
      <c r="R52" s="5"/>
      <c r="S52" s="28"/>
      <c r="T52" s="8"/>
      <c r="U52" s="24"/>
      <c r="V52" s="11"/>
      <c r="W52" s="5"/>
      <c r="X52" s="28"/>
      <c r="Y52" s="8"/>
      <c r="Z52" s="44"/>
      <c r="AA52" s="11"/>
      <c r="AB52" s="5"/>
      <c r="AC52" s="28"/>
      <c r="AD52" s="24"/>
      <c r="AE52" s="15"/>
      <c r="AF52" s="8"/>
      <c r="AG52" s="24"/>
      <c r="AH52" s="5"/>
      <c r="AI52" s="5"/>
      <c r="AJ52" s="28"/>
      <c r="AK52" s="8"/>
      <c r="AL52" s="11"/>
      <c r="AM52" s="5"/>
      <c r="AN52" s="5"/>
      <c r="AO52" s="8"/>
    </row>
    <row r="53" spans="1:41">
      <c r="A53" s="131"/>
      <c r="B53" s="13" t="s">
        <v>86</v>
      </c>
      <c r="C53" s="15"/>
      <c r="D53" s="17" t="s">
        <v>40</v>
      </c>
      <c r="E53" s="15"/>
      <c r="F53" s="58" t="s">
        <v>104</v>
      </c>
      <c r="G53" s="58" t="s">
        <v>104</v>
      </c>
      <c r="H53" s="100">
        <v>1</v>
      </c>
      <c r="I53" s="24"/>
      <c r="J53" s="5"/>
      <c r="K53" s="8"/>
      <c r="L53" s="24"/>
      <c r="M53" s="5"/>
      <c r="N53" s="5"/>
      <c r="O53" s="5"/>
      <c r="P53" s="8"/>
      <c r="Q53" s="24"/>
      <c r="R53" s="5"/>
      <c r="S53" s="28"/>
      <c r="T53" s="8"/>
      <c r="U53" s="24"/>
      <c r="V53" s="11"/>
      <c r="W53" s="5"/>
      <c r="X53" s="28"/>
      <c r="Y53" s="8"/>
      <c r="Z53" s="44"/>
      <c r="AA53" s="11"/>
      <c r="AB53" s="5"/>
      <c r="AC53" s="28"/>
      <c r="AD53" s="24"/>
      <c r="AE53" s="15"/>
      <c r="AF53" s="8"/>
      <c r="AG53" s="24"/>
      <c r="AH53" s="5"/>
      <c r="AI53" s="5"/>
      <c r="AJ53" s="28"/>
      <c r="AK53" s="8"/>
      <c r="AL53" s="11"/>
      <c r="AM53" s="5"/>
      <c r="AN53" s="5"/>
      <c r="AO53" s="8"/>
    </row>
    <row r="54" spans="1:41" ht="18" thickBot="1">
      <c r="A54" s="131"/>
      <c r="B54" s="14" t="s">
        <v>142</v>
      </c>
      <c r="C54" s="16" t="s">
        <v>128</v>
      </c>
      <c r="D54" s="18" t="s">
        <v>18</v>
      </c>
      <c r="E54" s="16"/>
      <c r="F54" s="60" t="s">
        <v>104</v>
      </c>
      <c r="G54" s="60" t="s">
        <v>114</v>
      </c>
      <c r="H54" s="101">
        <v>1</v>
      </c>
      <c r="I54" s="25"/>
      <c r="J54" s="9"/>
      <c r="K54" s="10"/>
      <c r="L54" s="25"/>
      <c r="M54" s="9"/>
      <c r="N54" s="9"/>
      <c r="O54" s="9"/>
      <c r="P54" s="10"/>
      <c r="Q54" s="25"/>
      <c r="R54" s="9"/>
      <c r="S54" s="29"/>
      <c r="T54" s="10"/>
      <c r="U54" s="25"/>
      <c r="V54" s="12"/>
      <c r="W54" s="9"/>
      <c r="X54" s="29"/>
      <c r="Y54" s="10"/>
      <c r="Z54" s="46"/>
      <c r="AA54" s="98"/>
      <c r="AB54" s="9"/>
      <c r="AC54" s="29"/>
      <c r="AD54" s="25"/>
      <c r="AE54" s="16"/>
      <c r="AF54" s="10"/>
      <c r="AG54" s="25"/>
      <c r="AH54" s="9"/>
      <c r="AI54" s="9"/>
      <c r="AJ54" s="29"/>
      <c r="AK54" s="10"/>
      <c r="AL54" s="12"/>
      <c r="AM54" s="9"/>
      <c r="AN54" s="9"/>
      <c r="AO54" s="10"/>
    </row>
    <row r="55" spans="1:41">
      <c r="A55" s="131"/>
      <c r="B55" s="68" t="s">
        <v>58</v>
      </c>
      <c r="C55" s="69"/>
      <c r="D55" s="70"/>
      <c r="E55" s="69"/>
      <c r="F55" s="71" t="s">
        <v>111</v>
      </c>
      <c r="G55" s="71" t="s">
        <v>51</v>
      </c>
      <c r="H55" s="102">
        <f>AVERAGE(H56:H61)</f>
        <v>1</v>
      </c>
      <c r="I55" s="23"/>
      <c r="J55" s="6"/>
      <c r="K55" s="7"/>
      <c r="L55" s="23"/>
      <c r="M55" s="6"/>
      <c r="N55" s="6"/>
      <c r="O55" s="6"/>
      <c r="P55" s="7"/>
      <c r="Q55" s="23"/>
      <c r="R55" s="6"/>
      <c r="S55" s="27"/>
      <c r="T55" s="7"/>
      <c r="U55" s="23"/>
      <c r="V55" s="96"/>
      <c r="W55" s="33"/>
      <c r="X55" s="37"/>
      <c r="Y55" s="34"/>
      <c r="Z55" s="32"/>
      <c r="AA55" s="96"/>
      <c r="AB55" s="6"/>
      <c r="AC55" s="27"/>
      <c r="AD55" s="23"/>
      <c r="AE55" s="42"/>
      <c r="AF55" s="7"/>
      <c r="AG55" s="23"/>
      <c r="AH55" s="6"/>
      <c r="AI55" s="6"/>
      <c r="AJ55" s="27"/>
      <c r="AK55" s="7"/>
      <c r="AL55" s="26"/>
      <c r="AM55" s="6"/>
      <c r="AN55" s="6"/>
      <c r="AO55" s="7"/>
    </row>
    <row r="56" spans="1:41">
      <c r="A56" s="131"/>
      <c r="B56" s="13" t="s">
        <v>76</v>
      </c>
      <c r="C56" s="15"/>
      <c r="D56" s="17" t="s">
        <v>18</v>
      </c>
      <c r="E56" s="15"/>
      <c r="F56" s="58" t="s">
        <v>115</v>
      </c>
      <c r="G56" s="58" t="s">
        <v>111</v>
      </c>
      <c r="H56" s="100">
        <v>1</v>
      </c>
      <c r="I56" s="24"/>
      <c r="J56" s="5"/>
      <c r="K56" s="8"/>
      <c r="L56" s="24"/>
      <c r="M56" s="5"/>
      <c r="N56" s="5"/>
      <c r="O56" s="5"/>
      <c r="P56" s="8"/>
      <c r="Q56" s="24"/>
      <c r="R56" s="5"/>
      <c r="S56" s="28"/>
      <c r="T56" s="8"/>
      <c r="U56" s="24"/>
      <c r="V56" s="97"/>
      <c r="W56" s="5"/>
      <c r="X56" s="28"/>
      <c r="Y56" s="8"/>
      <c r="Z56" s="24"/>
      <c r="AA56" s="11"/>
      <c r="AB56" s="5"/>
      <c r="AC56" s="28"/>
      <c r="AD56" s="24"/>
      <c r="AE56" s="15"/>
      <c r="AF56" s="8"/>
      <c r="AG56" s="24"/>
      <c r="AH56" s="5"/>
      <c r="AI56" s="5"/>
      <c r="AJ56" s="28"/>
      <c r="AK56" s="8"/>
      <c r="AL56" s="11"/>
      <c r="AM56" s="5"/>
      <c r="AN56" s="5"/>
      <c r="AO56" s="8"/>
    </row>
    <row r="57" spans="1:41">
      <c r="A57" s="131"/>
      <c r="B57" s="13" t="s">
        <v>87</v>
      </c>
      <c r="C57" s="15"/>
      <c r="D57" s="17" t="s">
        <v>20</v>
      </c>
      <c r="E57" s="15"/>
      <c r="F57" s="58" t="s">
        <v>111</v>
      </c>
      <c r="G57" s="58" t="s">
        <v>113</v>
      </c>
      <c r="H57" s="100">
        <v>1</v>
      </c>
      <c r="I57" s="24"/>
      <c r="J57" s="5"/>
      <c r="K57" s="8"/>
      <c r="L57" s="24"/>
      <c r="M57" s="5"/>
      <c r="N57" s="5"/>
      <c r="O57" s="5"/>
      <c r="P57" s="8"/>
      <c r="Q57" s="24"/>
      <c r="R57" s="5"/>
      <c r="S57" s="28"/>
      <c r="T57" s="8"/>
      <c r="U57" s="24"/>
      <c r="V57" s="97"/>
      <c r="W57" s="45"/>
      <c r="X57" s="89"/>
      <c r="Y57" s="8"/>
      <c r="Z57" s="24"/>
      <c r="AA57" s="11"/>
      <c r="AB57" s="5"/>
      <c r="AC57" s="28"/>
      <c r="AD57" s="24"/>
      <c r="AE57" s="15"/>
      <c r="AF57" s="8"/>
      <c r="AG57" s="24"/>
      <c r="AH57" s="5"/>
      <c r="AI57" s="5"/>
      <c r="AJ57" s="28"/>
      <c r="AK57" s="8"/>
      <c r="AL57" s="11"/>
      <c r="AM57" s="5"/>
      <c r="AN57" s="5"/>
      <c r="AO57" s="8"/>
    </row>
    <row r="58" spans="1:41">
      <c r="A58" s="131"/>
      <c r="B58" s="13" t="s">
        <v>153</v>
      </c>
      <c r="C58" s="15"/>
      <c r="D58" s="17" t="s">
        <v>75</v>
      </c>
      <c r="E58" s="15"/>
      <c r="F58" s="58" t="s">
        <v>116</v>
      </c>
      <c r="G58" s="58" t="s">
        <v>113</v>
      </c>
      <c r="H58" s="100">
        <v>1</v>
      </c>
      <c r="I58" s="24"/>
      <c r="J58" s="5"/>
      <c r="K58" s="8"/>
      <c r="L58" s="24"/>
      <c r="M58" s="5"/>
      <c r="N58" s="5"/>
      <c r="O58" s="5"/>
      <c r="P58" s="8"/>
      <c r="Q58" s="24"/>
      <c r="R58" s="5"/>
      <c r="S58" s="28"/>
      <c r="T58" s="8"/>
      <c r="U58" s="24"/>
      <c r="V58" s="97"/>
      <c r="W58" s="45"/>
      <c r="X58" s="89"/>
      <c r="Y58" s="8"/>
      <c r="Z58" s="24"/>
      <c r="AA58" s="11"/>
      <c r="AB58" s="5"/>
      <c r="AC58" s="28"/>
      <c r="AD58" s="24"/>
      <c r="AE58" s="15"/>
      <c r="AF58" s="8"/>
      <c r="AG58" s="24"/>
      <c r="AH58" s="5"/>
      <c r="AI58" s="5"/>
      <c r="AJ58" s="28"/>
      <c r="AK58" s="8"/>
      <c r="AL58" s="11"/>
      <c r="AM58" s="5"/>
      <c r="AN58" s="5"/>
      <c r="AO58" s="8"/>
    </row>
    <row r="59" spans="1:41">
      <c r="A59" s="131"/>
      <c r="B59" s="13" t="s">
        <v>154</v>
      </c>
      <c r="C59" s="15"/>
      <c r="D59" s="17" t="s">
        <v>18</v>
      </c>
      <c r="E59" s="15"/>
      <c r="F59" s="58" t="s">
        <v>117</v>
      </c>
      <c r="G59" s="58" t="s">
        <v>118</v>
      </c>
      <c r="H59" s="100">
        <v>1</v>
      </c>
      <c r="I59" s="24"/>
      <c r="J59" s="5"/>
      <c r="K59" s="8"/>
      <c r="L59" s="24"/>
      <c r="M59" s="5"/>
      <c r="N59" s="5"/>
      <c r="O59" s="5"/>
      <c r="P59" s="8"/>
      <c r="Q59" s="24"/>
      <c r="R59" s="5"/>
      <c r="S59" s="28"/>
      <c r="T59" s="8"/>
      <c r="U59" s="24"/>
      <c r="V59" s="11"/>
      <c r="W59" s="5"/>
      <c r="X59" s="28"/>
      <c r="Y59" s="8"/>
      <c r="Z59" s="44"/>
      <c r="AA59" s="11"/>
      <c r="AB59" s="5"/>
      <c r="AC59" s="28"/>
      <c r="AD59" s="24"/>
      <c r="AE59" s="15"/>
      <c r="AF59" s="8"/>
      <c r="AG59" s="24"/>
      <c r="AH59" s="5"/>
      <c r="AI59" s="5"/>
      <c r="AJ59" s="28"/>
      <c r="AK59" s="8"/>
      <c r="AL59" s="11"/>
      <c r="AM59" s="5"/>
      <c r="AN59" s="5"/>
      <c r="AO59" s="8"/>
    </row>
    <row r="60" spans="1:41">
      <c r="A60" s="131"/>
      <c r="B60" s="13" t="s">
        <v>88</v>
      </c>
      <c r="C60" s="15"/>
      <c r="D60" s="17" t="s">
        <v>40</v>
      </c>
      <c r="E60" s="15"/>
      <c r="F60" s="58" t="s">
        <v>104</v>
      </c>
      <c r="G60" s="58" t="s">
        <v>194</v>
      </c>
      <c r="H60" s="100">
        <v>1</v>
      </c>
      <c r="I60" s="24"/>
      <c r="J60" s="5"/>
      <c r="K60" s="8"/>
      <c r="L60" s="24"/>
      <c r="M60" s="5"/>
      <c r="N60" s="5"/>
      <c r="O60" s="5"/>
      <c r="P60" s="8"/>
      <c r="Q60" s="24"/>
      <c r="R60" s="5"/>
      <c r="S60" s="28"/>
      <c r="T60" s="8"/>
      <c r="U60" s="24"/>
      <c r="V60" s="11"/>
      <c r="W60" s="5"/>
      <c r="X60" s="28"/>
      <c r="Y60" s="8"/>
      <c r="Z60" s="44"/>
      <c r="AA60" s="97"/>
      <c r="AB60" s="5"/>
      <c r="AC60" s="28"/>
      <c r="AD60" s="24"/>
      <c r="AE60" s="15"/>
      <c r="AF60" s="8"/>
      <c r="AG60" s="24"/>
      <c r="AH60" s="5"/>
      <c r="AI60" s="5"/>
      <c r="AJ60" s="28"/>
      <c r="AK60" s="8"/>
      <c r="AL60" s="11"/>
      <c r="AM60" s="5"/>
      <c r="AN60" s="5"/>
      <c r="AO60" s="8"/>
    </row>
    <row r="61" spans="1:41" ht="18" thickBot="1">
      <c r="A61" s="149"/>
      <c r="B61" s="14" t="s">
        <v>155</v>
      </c>
      <c r="C61" s="16" t="s">
        <v>129</v>
      </c>
      <c r="D61" s="18" t="s">
        <v>18</v>
      </c>
      <c r="E61" s="16"/>
      <c r="F61" s="60" t="s">
        <v>104</v>
      </c>
      <c r="G61" s="58" t="s">
        <v>51</v>
      </c>
      <c r="H61" s="101">
        <v>1</v>
      </c>
      <c r="I61" s="25"/>
      <c r="J61" s="9"/>
      <c r="K61" s="10"/>
      <c r="L61" s="25"/>
      <c r="M61" s="9"/>
      <c r="N61" s="9"/>
      <c r="O61" s="9"/>
      <c r="P61" s="10"/>
      <c r="Q61" s="25"/>
      <c r="R61" s="9"/>
      <c r="S61" s="29"/>
      <c r="T61" s="10"/>
      <c r="U61" s="25"/>
      <c r="V61" s="12"/>
      <c r="W61" s="9"/>
      <c r="X61" s="29"/>
      <c r="Y61" s="10"/>
      <c r="Z61" s="46"/>
      <c r="AA61" s="98"/>
      <c r="AB61" s="9"/>
      <c r="AC61" s="29"/>
      <c r="AD61" s="25"/>
      <c r="AE61" s="16"/>
      <c r="AF61" s="10"/>
      <c r="AG61" s="25"/>
      <c r="AH61" s="9"/>
      <c r="AI61" s="9"/>
      <c r="AJ61" s="29"/>
      <c r="AK61" s="10"/>
      <c r="AL61" s="12"/>
      <c r="AM61" s="9"/>
      <c r="AN61" s="9"/>
      <c r="AO61" s="10"/>
    </row>
    <row r="62" spans="1:41">
      <c r="A62" s="130" t="s">
        <v>16</v>
      </c>
      <c r="B62" s="48" t="s">
        <v>120</v>
      </c>
      <c r="C62" s="90"/>
      <c r="D62" s="50"/>
      <c r="E62" s="49"/>
      <c r="F62" s="62" t="s">
        <v>193</v>
      </c>
      <c r="G62" s="62" t="s">
        <v>203</v>
      </c>
      <c r="H62" s="99">
        <f>AVERAGE(H63:H73)</f>
        <v>1</v>
      </c>
      <c r="I62" s="23"/>
      <c r="J62" s="6"/>
      <c r="K62" s="7"/>
      <c r="L62" s="23"/>
      <c r="M62" s="6"/>
      <c r="N62" s="6"/>
      <c r="O62" s="6"/>
      <c r="P62" s="7"/>
      <c r="Q62" s="23"/>
      <c r="R62" s="6"/>
      <c r="S62" s="27"/>
      <c r="T62" s="7"/>
      <c r="U62" s="23"/>
      <c r="V62" s="26"/>
      <c r="W62" s="6"/>
      <c r="X62" s="27"/>
      <c r="Y62" s="7"/>
      <c r="Z62" s="23"/>
      <c r="AA62" s="26"/>
      <c r="AB62" s="33"/>
      <c r="AC62" s="37"/>
      <c r="AD62" s="32"/>
      <c r="AE62" s="43"/>
      <c r="AF62" s="34"/>
      <c r="AG62" s="32"/>
      <c r="AH62" s="33"/>
      <c r="AI62" s="33"/>
      <c r="AJ62" s="37"/>
      <c r="AK62" s="34"/>
      <c r="AL62" s="26"/>
      <c r="AM62" s="6"/>
      <c r="AN62" s="6"/>
      <c r="AO62" s="7"/>
    </row>
    <row r="63" spans="1:41">
      <c r="A63" s="131"/>
      <c r="B63" s="13" t="s">
        <v>157</v>
      </c>
      <c r="D63" s="17" t="s">
        <v>176</v>
      </c>
      <c r="E63" s="15"/>
      <c r="F63" s="58" t="s">
        <v>195</v>
      </c>
      <c r="G63" s="58" t="s">
        <v>204</v>
      </c>
      <c r="H63" s="100">
        <v>1</v>
      </c>
      <c r="I63" s="24"/>
      <c r="J63" s="5"/>
      <c r="K63" s="8"/>
      <c r="L63" s="24"/>
      <c r="M63" s="5"/>
      <c r="N63" s="5"/>
      <c r="O63" s="5"/>
      <c r="P63" s="8"/>
      <c r="Q63" s="24"/>
      <c r="R63" s="5"/>
      <c r="S63" s="28"/>
      <c r="T63" s="8"/>
      <c r="U63" s="24"/>
      <c r="V63" s="11"/>
      <c r="W63" s="5"/>
      <c r="X63" s="28"/>
      <c r="Y63" s="8"/>
      <c r="Z63" s="24"/>
      <c r="AA63" s="11"/>
      <c r="AB63" s="45"/>
      <c r="AC63" s="89"/>
      <c r="AD63" s="44"/>
      <c r="AE63" s="113"/>
      <c r="AF63" s="85"/>
      <c r="AG63" s="44"/>
      <c r="AH63" s="5"/>
      <c r="AI63" s="5"/>
      <c r="AJ63" s="28"/>
      <c r="AK63" s="8"/>
      <c r="AL63" s="11"/>
      <c r="AM63" s="5"/>
      <c r="AN63" s="5"/>
      <c r="AO63" s="8"/>
    </row>
    <row r="64" spans="1:41">
      <c r="A64" s="131"/>
      <c r="B64" s="13" t="s">
        <v>156</v>
      </c>
      <c r="D64" s="17" t="s">
        <v>176</v>
      </c>
      <c r="E64" s="15"/>
      <c r="F64" s="58" t="s">
        <v>195</v>
      </c>
      <c r="G64" s="58" t="s">
        <v>204</v>
      </c>
      <c r="H64" s="100">
        <v>1</v>
      </c>
      <c r="I64" s="24"/>
      <c r="J64" s="5"/>
      <c r="K64" s="8"/>
      <c r="L64" s="24"/>
      <c r="M64" s="5"/>
      <c r="N64" s="5"/>
      <c r="O64" s="5"/>
      <c r="P64" s="8"/>
      <c r="Q64" s="24"/>
      <c r="R64" s="5"/>
      <c r="S64" s="28"/>
      <c r="T64" s="8"/>
      <c r="U64" s="24"/>
      <c r="V64" s="11"/>
      <c r="W64" s="5"/>
      <c r="X64" s="28"/>
      <c r="Y64" s="8"/>
      <c r="Z64" s="24"/>
      <c r="AA64" s="11"/>
      <c r="AB64" s="45"/>
      <c r="AC64" s="89"/>
      <c r="AD64" s="44"/>
      <c r="AE64" s="113"/>
      <c r="AF64" s="85"/>
      <c r="AG64" s="44"/>
      <c r="AH64" s="5"/>
      <c r="AI64" s="5"/>
      <c r="AJ64" s="28"/>
      <c r="AK64" s="8"/>
      <c r="AL64" s="11"/>
      <c r="AM64" s="5"/>
      <c r="AN64" s="5"/>
      <c r="AO64" s="8"/>
    </row>
    <row r="65" spans="1:41">
      <c r="A65" s="131"/>
      <c r="B65" s="13" t="s">
        <v>159</v>
      </c>
      <c r="D65" s="17" t="s">
        <v>176</v>
      </c>
      <c r="E65" s="15"/>
      <c r="F65" s="58" t="s">
        <v>195</v>
      </c>
      <c r="G65" s="58" t="s">
        <v>204</v>
      </c>
      <c r="H65" s="100">
        <v>1</v>
      </c>
      <c r="I65" s="24"/>
      <c r="J65" s="5"/>
      <c r="K65" s="8"/>
      <c r="L65" s="24"/>
      <c r="M65" s="5"/>
      <c r="N65" s="5"/>
      <c r="O65" s="5"/>
      <c r="P65" s="8"/>
      <c r="Q65" s="24"/>
      <c r="R65" s="5"/>
      <c r="S65" s="28"/>
      <c r="T65" s="8"/>
      <c r="U65" s="24"/>
      <c r="V65" s="11"/>
      <c r="W65" s="5"/>
      <c r="X65" s="28"/>
      <c r="Y65" s="8"/>
      <c r="Z65" s="24"/>
      <c r="AA65" s="11"/>
      <c r="AB65" s="45"/>
      <c r="AC65" s="89"/>
      <c r="AD65" s="44"/>
      <c r="AE65" s="113"/>
      <c r="AF65" s="85"/>
      <c r="AG65" s="44"/>
      <c r="AH65" s="5"/>
      <c r="AI65" s="5"/>
      <c r="AJ65" s="28"/>
      <c r="AK65" s="8"/>
      <c r="AL65" s="11"/>
      <c r="AM65" s="5"/>
      <c r="AN65" s="5"/>
      <c r="AO65" s="8"/>
    </row>
    <row r="66" spans="1:41">
      <c r="A66" s="131"/>
      <c r="B66" s="13" t="s">
        <v>158</v>
      </c>
      <c r="D66" s="17" t="s">
        <v>177</v>
      </c>
      <c r="E66" s="15"/>
      <c r="F66" s="58" t="s">
        <v>201</v>
      </c>
      <c r="G66" s="58" t="s">
        <v>204</v>
      </c>
      <c r="H66" s="100">
        <v>1</v>
      </c>
      <c r="I66" s="24"/>
      <c r="J66" s="5"/>
      <c r="K66" s="8"/>
      <c r="L66" s="24"/>
      <c r="M66" s="5"/>
      <c r="N66" s="5"/>
      <c r="O66" s="5"/>
      <c r="P66" s="8"/>
      <c r="Q66" s="24"/>
      <c r="R66" s="5"/>
      <c r="S66" s="28"/>
      <c r="T66" s="8"/>
      <c r="U66" s="24"/>
      <c r="V66" s="11"/>
      <c r="W66" s="5"/>
      <c r="X66" s="28"/>
      <c r="Y66" s="8"/>
      <c r="Z66" s="24"/>
      <c r="AA66" s="11"/>
      <c r="AB66" s="45"/>
      <c r="AC66" s="89"/>
      <c r="AD66" s="44"/>
      <c r="AE66" s="113"/>
      <c r="AF66" s="85"/>
      <c r="AG66" s="44"/>
      <c r="AH66" s="5"/>
      <c r="AI66" s="5"/>
      <c r="AJ66" s="28"/>
      <c r="AK66" s="8"/>
      <c r="AL66" s="11"/>
      <c r="AM66" s="5"/>
      <c r="AN66" s="5"/>
      <c r="AO66" s="8"/>
    </row>
    <row r="67" spans="1:41">
      <c r="A67" s="131"/>
      <c r="B67" s="13" t="s">
        <v>172</v>
      </c>
      <c r="D67" s="17" t="s">
        <v>139</v>
      </c>
      <c r="E67" s="15"/>
      <c r="F67" s="58" t="s">
        <v>202</v>
      </c>
      <c r="G67" s="58" t="s">
        <v>204</v>
      </c>
      <c r="H67" s="100">
        <v>1</v>
      </c>
      <c r="I67" s="24"/>
      <c r="J67" s="5"/>
      <c r="K67" s="8"/>
      <c r="L67" s="24"/>
      <c r="M67" s="5"/>
      <c r="N67" s="5"/>
      <c r="O67" s="5"/>
      <c r="P67" s="8"/>
      <c r="Q67" s="24"/>
      <c r="R67" s="5"/>
      <c r="S67" s="28"/>
      <c r="T67" s="8"/>
      <c r="U67" s="24"/>
      <c r="V67" s="11"/>
      <c r="W67" s="5"/>
      <c r="X67" s="28"/>
      <c r="Y67" s="8"/>
      <c r="Z67" s="24"/>
      <c r="AA67" s="11"/>
      <c r="AB67" s="45"/>
      <c r="AC67" s="89"/>
      <c r="AD67" s="44"/>
      <c r="AE67" s="113"/>
      <c r="AF67" s="85"/>
      <c r="AG67" s="44"/>
      <c r="AH67" s="5"/>
      <c r="AI67" s="5"/>
      <c r="AJ67" s="28"/>
      <c r="AK67" s="8"/>
      <c r="AL67" s="11"/>
      <c r="AM67" s="5"/>
      <c r="AN67" s="5"/>
      <c r="AO67" s="8"/>
    </row>
    <row r="68" spans="1:41">
      <c r="A68" s="131"/>
      <c r="B68" s="13" t="s">
        <v>163</v>
      </c>
      <c r="D68" s="17" t="s">
        <v>170</v>
      </c>
      <c r="E68" s="15"/>
      <c r="F68" s="58" t="s">
        <v>206</v>
      </c>
      <c r="G68" s="58" t="s">
        <v>205</v>
      </c>
      <c r="H68" s="100">
        <v>1</v>
      </c>
      <c r="I68" s="24"/>
      <c r="J68" s="5"/>
      <c r="K68" s="8"/>
      <c r="L68" s="24"/>
      <c r="M68" s="5"/>
      <c r="N68" s="5"/>
      <c r="O68" s="5"/>
      <c r="P68" s="8"/>
      <c r="Q68" s="24"/>
      <c r="R68" s="5"/>
      <c r="S68" s="28"/>
      <c r="T68" s="8"/>
      <c r="U68" s="24"/>
      <c r="V68" s="11"/>
      <c r="W68" s="5"/>
      <c r="X68" s="28"/>
      <c r="Y68" s="8"/>
      <c r="Z68" s="24"/>
      <c r="AA68" s="11"/>
      <c r="AB68" s="5"/>
      <c r="AC68" s="28"/>
      <c r="AD68" s="24"/>
      <c r="AE68" s="15"/>
      <c r="AF68" s="8"/>
      <c r="AG68" s="24"/>
      <c r="AH68" s="45"/>
      <c r="AI68" s="45"/>
      <c r="AJ68" s="89"/>
      <c r="AK68" s="85"/>
      <c r="AL68" s="11"/>
      <c r="AM68" s="5"/>
      <c r="AN68" s="5"/>
      <c r="AO68" s="8"/>
    </row>
    <row r="69" spans="1:41">
      <c r="A69" s="131"/>
      <c r="B69" s="13" t="s">
        <v>164</v>
      </c>
      <c r="D69" s="17" t="s">
        <v>18</v>
      </c>
      <c r="E69" s="15"/>
      <c r="F69" s="58" t="s">
        <v>207</v>
      </c>
      <c r="G69" s="58" t="s">
        <v>205</v>
      </c>
      <c r="H69" s="100">
        <v>1</v>
      </c>
      <c r="I69" s="24"/>
      <c r="J69" s="5"/>
      <c r="K69" s="8"/>
      <c r="L69" s="24"/>
      <c r="M69" s="5"/>
      <c r="N69" s="5"/>
      <c r="O69" s="5"/>
      <c r="P69" s="8"/>
      <c r="Q69" s="24"/>
      <c r="R69" s="5"/>
      <c r="S69" s="28"/>
      <c r="T69" s="8"/>
      <c r="U69" s="24"/>
      <c r="V69" s="11"/>
      <c r="W69" s="5"/>
      <c r="X69" s="28"/>
      <c r="Y69" s="8"/>
      <c r="Z69" s="24"/>
      <c r="AA69" s="11"/>
      <c r="AB69" s="5"/>
      <c r="AC69" s="28"/>
      <c r="AD69" s="24"/>
      <c r="AE69" s="15"/>
      <c r="AF69" s="8"/>
      <c r="AG69" s="24"/>
      <c r="AH69" s="45"/>
      <c r="AI69" s="45"/>
      <c r="AJ69" s="89"/>
      <c r="AK69" s="85"/>
      <c r="AL69" s="11"/>
      <c r="AM69" s="5"/>
      <c r="AN69" s="5"/>
      <c r="AO69" s="8"/>
    </row>
    <row r="70" spans="1:41">
      <c r="A70" s="131"/>
      <c r="B70" s="13" t="s">
        <v>166</v>
      </c>
      <c r="C70" s="91" t="s">
        <v>135</v>
      </c>
      <c r="D70" s="17" t="s">
        <v>18</v>
      </c>
      <c r="E70" s="15"/>
      <c r="F70" s="58" t="s">
        <v>207</v>
      </c>
      <c r="G70" s="58" t="s">
        <v>205</v>
      </c>
      <c r="H70" s="100">
        <v>1</v>
      </c>
      <c r="I70" s="24"/>
      <c r="J70" s="5"/>
      <c r="K70" s="8"/>
      <c r="L70" s="24"/>
      <c r="M70" s="5"/>
      <c r="N70" s="5"/>
      <c r="O70" s="5"/>
      <c r="P70" s="8"/>
      <c r="Q70" s="24"/>
      <c r="R70" s="5"/>
      <c r="S70" s="28"/>
      <c r="T70" s="8"/>
      <c r="U70" s="24"/>
      <c r="V70" s="11"/>
      <c r="W70" s="5"/>
      <c r="X70" s="28"/>
      <c r="Y70" s="8"/>
      <c r="Z70" s="24"/>
      <c r="AA70" s="11"/>
      <c r="AB70" s="5"/>
      <c r="AC70" s="28"/>
      <c r="AD70" s="24"/>
      <c r="AE70" s="15"/>
      <c r="AF70" s="8"/>
      <c r="AG70" s="24"/>
      <c r="AH70" s="45"/>
      <c r="AI70" s="45"/>
      <c r="AJ70" s="89"/>
      <c r="AK70" s="85"/>
      <c r="AL70" s="11"/>
      <c r="AM70" s="5"/>
      <c r="AN70" s="5"/>
      <c r="AO70" s="8"/>
    </row>
    <row r="71" spans="1:41">
      <c r="A71" s="131"/>
      <c r="B71" s="13" t="s">
        <v>167</v>
      </c>
      <c r="C71" s="91" t="s">
        <v>136</v>
      </c>
      <c r="D71" s="17" t="s">
        <v>140</v>
      </c>
      <c r="E71" s="15"/>
      <c r="F71" s="58" t="s">
        <v>207</v>
      </c>
      <c r="G71" s="58" t="s">
        <v>205</v>
      </c>
      <c r="H71" s="100">
        <v>1</v>
      </c>
      <c r="I71" s="24"/>
      <c r="J71" s="5"/>
      <c r="K71" s="8"/>
      <c r="L71" s="24"/>
      <c r="M71" s="5"/>
      <c r="N71" s="5"/>
      <c r="O71" s="5"/>
      <c r="P71" s="8"/>
      <c r="Q71" s="24"/>
      <c r="R71" s="5"/>
      <c r="S71" s="28"/>
      <c r="T71" s="8"/>
      <c r="U71" s="24"/>
      <c r="V71" s="11"/>
      <c r="W71" s="5"/>
      <c r="X71" s="28"/>
      <c r="Y71" s="8"/>
      <c r="Z71" s="24"/>
      <c r="AA71" s="11"/>
      <c r="AB71" s="5"/>
      <c r="AC71" s="28"/>
      <c r="AD71" s="24"/>
      <c r="AE71" s="15"/>
      <c r="AF71" s="8"/>
      <c r="AG71" s="24"/>
      <c r="AH71" s="45"/>
      <c r="AI71" s="45"/>
      <c r="AJ71" s="89"/>
      <c r="AK71" s="85"/>
      <c r="AL71" s="11"/>
      <c r="AM71" s="5"/>
      <c r="AN71" s="5"/>
      <c r="AO71" s="8"/>
    </row>
    <row r="72" spans="1:41">
      <c r="A72" s="131"/>
      <c r="B72" s="13" t="s">
        <v>168</v>
      </c>
      <c r="C72" s="91" t="s">
        <v>137</v>
      </c>
      <c r="D72" s="17" t="s">
        <v>139</v>
      </c>
      <c r="E72" s="15"/>
      <c r="F72" s="58" t="s">
        <v>207</v>
      </c>
      <c r="G72" s="58" t="s">
        <v>205</v>
      </c>
      <c r="H72" s="100">
        <v>1</v>
      </c>
      <c r="I72" s="24"/>
      <c r="J72" s="5"/>
      <c r="K72" s="8"/>
      <c r="L72" s="24"/>
      <c r="M72" s="5"/>
      <c r="N72" s="5"/>
      <c r="O72" s="5"/>
      <c r="P72" s="8"/>
      <c r="Q72" s="24"/>
      <c r="R72" s="5"/>
      <c r="S72" s="28"/>
      <c r="T72" s="8"/>
      <c r="U72" s="24"/>
      <c r="V72" s="11"/>
      <c r="W72" s="5"/>
      <c r="X72" s="28"/>
      <c r="Y72" s="8"/>
      <c r="Z72" s="24"/>
      <c r="AA72" s="11"/>
      <c r="AB72" s="5"/>
      <c r="AC72" s="28"/>
      <c r="AD72" s="24"/>
      <c r="AE72" s="15"/>
      <c r="AF72" s="8"/>
      <c r="AG72" s="24"/>
      <c r="AH72" s="45"/>
      <c r="AI72" s="45"/>
      <c r="AJ72" s="89"/>
      <c r="AK72" s="85"/>
      <c r="AL72" s="11"/>
      <c r="AM72" s="5"/>
      <c r="AN72" s="5"/>
      <c r="AO72" s="8"/>
    </row>
    <row r="73" spans="1:41" ht="18" thickBot="1">
      <c r="A73" s="131"/>
      <c r="B73" s="19" t="s">
        <v>169</v>
      </c>
      <c r="C73" s="112" t="s">
        <v>138</v>
      </c>
      <c r="D73" s="21" t="s">
        <v>139</v>
      </c>
      <c r="E73" s="20"/>
      <c r="F73" s="58" t="s">
        <v>207</v>
      </c>
      <c r="G73" s="58" t="s">
        <v>205</v>
      </c>
      <c r="H73" s="103">
        <v>1</v>
      </c>
      <c r="I73" s="51"/>
      <c r="J73" s="52"/>
      <c r="K73" s="53"/>
      <c r="L73" s="51"/>
      <c r="M73" s="52"/>
      <c r="N73" s="52"/>
      <c r="O73" s="52"/>
      <c r="P73" s="53"/>
      <c r="Q73" s="51"/>
      <c r="R73" s="52"/>
      <c r="S73" s="54"/>
      <c r="T73" s="53"/>
      <c r="U73" s="51"/>
      <c r="V73" s="55"/>
      <c r="W73" s="52"/>
      <c r="X73" s="54"/>
      <c r="Y73" s="53"/>
      <c r="Z73" s="51"/>
      <c r="AA73" s="55"/>
      <c r="AB73" s="52"/>
      <c r="AC73" s="54"/>
      <c r="AD73" s="51"/>
      <c r="AE73" s="20"/>
      <c r="AF73" s="53"/>
      <c r="AG73" s="51"/>
      <c r="AH73" s="86"/>
      <c r="AI73" s="86"/>
      <c r="AJ73" s="93"/>
      <c r="AK73" s="94"/>
      <c r="AL73" s="55"/>
      <c r="AM73" s="52"/>
      <c r="AN73" s="52"/>
      <c r="AO73" s="53"/>
    </row>
    <row r="74" spans="1:41">
      <c r="A74" s="131"/>
      <c r="B74" s="48" t="s">
        <v>160</v>
      </c>
      <c r="C74" s="49"/>
      <c r="D74" s="50"/>
      <c r="E74" s="49"/>
      <c r="F74" s="62" t="s">
        <v>202</v>
      </c>
      <c r="G74" s="62" t="s">
        <v>205</v>
      </c>
      <c r="H74" s="104">
        <f>AVERAGE(H75:H78)</f>
        <v>1</v>
      </c>
      <c r="I74" s="23"/>
      <c r="J74" s="6"/>
      <c r="K74" s="7"/>
      <c r="L74" s="23"/>
      <c r="M74" s="6"/>
      <c r="N74" s="6"/>
      <c r="O74" s="6"/>
      <c r="P74" s="7"/>
      <c r="Q74" s="23"/>
      <c r="R74" s="6"/>
      <c r="S74" s="27"/>
      <c r="T74" s="7"/>
      <c r="U74" s="23"/>
      <c r="V74" s="26"/>
      <c r="W74" s="6"/>
      <c r="X74" s="27"/>
      <c r="Y74" s="7"/>
      <c r="Z74" s="23"/>
      <c r="AA74" s="26"/>
      <c r="AB74" s="33"/>
      <c r="AC74" s="37"/>
      <c r="AD74" s="32"/>
      <c r="AE74" s="43"/>
      <c r="AF74" s="34"/>
      <c r="AG74" s="32"/>
      <c r="AH74" s="33"/>
      <c r="AI74" s="33"/>
      <c r="AJ74" s="37"/>
      <c r="AK74" s="34"/>
      <c r="AL74" s="26"/>
      <c r="AM74" s="6"/>
      <c r="AN74" s="6"/>
      <c r="AO74" s="7"/>
    </row>
    <row r="75" spans="1:41">
      <c r="A75" s="131"/>
      <c r="B75" s="13" t="s">
        <v>171</v>
      </c>
      <c r="C75" s="91"/>
      <c r="D75" s="17" t="s">
        <v>176</v>
      </c>
      <c r="E75" s="15"/>
      <c r="F75" s="58" t="s">
        <v>208</v>
      </c>
      <c r="G75" s="58" t="s">
        <v>209</v>
      </c>
      <c r="H75" s="100">
        <v>1</v>
      </c>
      <c r="I75" s="24"/>
      <c r="J75" s="5"/>
      <c r="K75" s="8"/>
      <c r="L75" s="24"/>
      <c r="M75" s="5"/>
      <c r="N75" s="5"/>
      <c r="O75" s="5"/>
      <c r="P75" s="8"/>
      <c r="Q75" s="24"/>
      <c r="R75" s="5"/>
      <c r="S75" s="28"/>
      <c r="T75" s="8"/>
      <c r="U75" s="24"/>
      <c r="V75" s="11"/>
      <c r="W75" s="5"/>
      <c r="X75" s="28"/>
      <c r="Y75" s="8"/>
      <c r="Z75" s="24"/>
      <c r="AA75" s="11"/>
      <c r="AB75" s="45"/>
      <c r="AC75" s="89"/>
      <c r="AD75" s="44"/>
      <c r="AE75" s="113"/>
      <c r="AF75" s="85"/>
      <c r="AG75" s="44"/>
      <c r="AH75" s="5"/>
      <c r="AI75" s="5"/>
      <c r="AJ75" s="28"/>
      <c r="AK75" s="8"/>
      <c r="AL75" s="11"/>
      <c r="AM75" s="5"/>
      <c r="AN75" s="5"/>
      <c r="AO75" s="8"/>
    </row>
    <row r="76" spans="1:41">
      <c r="A76" s="131"/>
      <c r="B76" s="13" t="s">
        <v>173</v>
      </c>
      <c r="C76" s="91"/>
      <c r="D76" s="17" t="s">
        <v>18</v>
      </c>
      <c r="E76" s="15"/>
      <c r="F76" s="58" t="s">
        <v>210</v>
      </c>
      <c r="G76" s="58" t="s">
        <v>211</v>
      </c>
      <c r="H76" s="100">
        <v>1</v>
      </c>
      <c r="I76" s="24"/>
      <c r="J76" s="5"/>
      <c r="K76" s="8"/>
      <c r="L76" s="24"/>
      <c r="M76" s="5"/>
      <c r="N76" s="5"/>
      <c r="O76" s="5"/>
      <c r="P76" s="8"/>
      <c r="Q76" s="24"/>
      <c r="R76" s="5"/>
      <c r="S76" s="28"/>
      <c r="T76" s="8"/>
      <c r="U76" s="24"/>
      <c r="V76" s="11"/>
      <c r="W76" s="5"/>
      <c r="X76" s="28"/>
      <c r="Y76" s="8"/>
      <c r="Z76" s="24"/>
      <c r="AA76" s="11"/>
      <c r="AB76" s="5"/>
      <c r="AC76" s="28"/>
      <c r="AD76" s="24"/>
      <c r="AE76" s="15"/>
      <c r="AF76" s="8"/>
      <c r="AG76" s="24"/>
      <c r="AH76" s="45"/>
      <c r="AI76" s="45"/>
      <c r="AJ76" s="89"/>
      <c r="AK76" s="85"/>
      <c r="AL76" s="11"/>
      <c r="AM76" s="5"/>
      <c r="AN76" s="5"/>
      <c r="AO76" s="8"/>
    </row>
    <row r="77" spans="1:41">
      <c r="A77" s="131"/>
      <c r="B77" s="13" t="s">
        <v>174</v>
      </c>
      <c r="C77" s="91"/>
      <c r="D77" s="17" t="s">
        <v>40</v>
      </c>
      <c r="E77" s="15"/>
      <c r="F77" s="58" t="s">
        <v>210</v>
      </c>
      <c r="G77" s="58" t="s">
        <v>211</v>
      </c>
      <c r="H77" s="100">
        <v>1</v>
      </c>
      <c r="I77" s="24"/>
      <c r="J77" s="5"/>
      <c r="K77" s="8"/>
      <c r="L77" s="24"/>
      <c r="M77" s="5"/>
      <c r="N77" s="5"/>
      <c r="O77" s="5"/>
      <c r="P77" s="8"/>
      <c r="Q77" s="24"/>
      <c r="R77" s="5"/>
      <c r="S77" s="28"/>
      <c r="T77" s="8"/>
      <c r="U77" s="24"/>
      <c r="V77" s="11"/>
      <c r="W77" s="5"/>
      <c r="X77" s="28"/>
      <c r="Y77" s="8"/>
      <c r="Z77" s="24"/>
      <c r="AA77" s="11"/>
      <c r="AB77" s="5"/>
      <c r="AC77" s="28"/>
      <c r="AD77" s="24"/>
      <c r="AE77" s="15"/>
      <c r="AF77" s="8"/>
      <c r="AG77" s="24"/>
      <c r="AH77" s="45"/>
      <c r="AI77" s="45"/>
      <c r="AJ77" s="89"/>
      <c r="AK77" s="85"/>
      <c r="AL77" s="11"/>
      <c r="AM77" s="5"/>
      <c r="AN77" s="5"/>
      <c r="AO77" s="8"/>
    </row>
    <row r="78" spans="1:41" ht="18" thickBot="1">
      <c r="A78" s="131"/>
      <c r="B78" s="19" t="s">
        <v>181</v>
      </c>
      <c r="C78" s="112" t="s">
        <v>161</v>
      </c>
      <c r="D78" s="21" t="s">
        <v>18</v>
      </c>
      <c r="E78" s="20"/>
      <c r="F78" s="58" t="s">
        <v>210</v>
      </c>
      <c r="G78" s="58" t="s">
        <v>211</v>
      </c>
      <c r="H78" s="103">
        <v>1</v>
      </c>
      <c r="I78" s="25"/>
      <c r="J78" s="9"/>
      <c r="K78" s="10"/>
      <c r="L78" s="25"/>
      <c r="M78" s="9"/>
      <c r="N78" s="9"/>
      <c r="O78" s="9"/>
      <c r="P78" s="10"/>
      <c r="Q78" s="25"/>
      <c r="R78" s="9"/>
      <c r="S78" s="29"/>
      <c r="T78" s="10"/>
      <c r="U78" s="25"/>
      <c r="V78" s="12"/>
      <c r="W78" s="9"/>
      <c r="X78" s="29"/>
      <c r="Y78" s="10"/>
      <c r="Z78" s="25"/>
      <c r="AA78" s="12"/>
      <c r="AB78" s="9"/>
      <c r="AC78" s="29"/>
      <c r="AD78" s="25"/>
      <c r="AE78" s="16"/>
      <c r="AF78" s="10"/>
      <c r="AG78" s="25"/>
      <c r="AH78" s="47"/>
      <c r="AI78" s="47"/>
      <c r="AJ78" s="114"/>
      <c r="AK78" s="115"/>
      <c r="AL78" s="12"/>
      <c r="AM78" s="9"/>
      <c r="AN78" s="9"/>
      <c r="AO78" s="10"/>
    </row>
    <row r="79" spans="1:41">
      <c r="A79" s="131"/>
      <c r="B79" s="48" t="s">
        <v>175</v>
      </c>
      <c r="C79" s="90"/>
      <c r="D79" s="50"/>
      <c r="E79" s="49"/>
      <c r="F79" s="62" t="s">
        <v>202</v>
      </c>
      <c r="G79" s="62" t="s">
        <v>205</v>
      </c>
      <c r="H79" s="104">
        <v>1</v>
      </c>
      <c r="I79" s="78"/>
      <c r="J79" s="79"/>
      <c r="K79" s="80"/>
      <c r="L79" s="78"/>
      <c r="M79" s="79"/>
      <c r="N79" s="79"/>
      <c r="O79" s="79"/>
      <c r="P79" s="80"/>
      <c r="Q79" s="78"/>
      <c r="R79" s="79"/>
      <c r="S79" s="81"/>
      <c r="T79" s="80"/>
      <c r="U79" s="78"/>
      <c r="V79" s="83"/>
      <c r="W79" s="79"/>
      <c r="X79" s="81"/>
      <c r="Y79" s="80"/>
      <c r="Z79" s="78"/>
      <c r="AA79" s="83"/>
      <c r="AB79" s="117"/>
      <c r="AC79" s="118"/>
      <c r="AD79" s="119"/>
      <c r="AE79" s="120"/>
      <c r="AF79" s="121"/>
      <c r="AG79" s="119"/>
      <c r="AH79" s="117"/>
      <c r="AI79" s="117"/>
      <c r="AJ79" s="118"/>
      <c r="AK79" s="121"/>
      <c r="AL79" s="83"/>
      <c r="AM79" s="79"/>
      <c r="AN79" s="79"/>
      <c r="AO79" s="80"/>
    </row>
    <row r="80" spans="1:41">
      <c r="A80" s="131"/>
      <c r="B80" s="13" t="s">
        <v>178</v>
      </c>
      <c r="C80" s="91"/>
      <c r="D80" s="17" t="s">
        <v>189</v>
      </c>
      <c r="E80" s="15"/>
      <c r="F80" s="58" t="s">
        <v>208</v>
      </c>
      <c r="G80" s="58" t="s">
        <v>209</v>
      </c>
      <c r="H80" s="100">
        <v>1</v>
      </c>
      <c r="I80" s="24"/>
      <c r="J80" s="5"/>
      <c r="K80" s="8"/>
      <c r="L80" s="24"/>
      <c r="M80" s="5"/>
      <c r="N80" s="5"/>
      <c r="O80" s="5"/>
      <c r="P80" s="8"/>
      <c r="Q80" s="24"/>
      <c r="R80" s="5"/>
      <c r="S80" s="28"/>
      <c r="T80" s="8"/>
      <c r="U80" s="24"/>
      <c r="V80" s="11"/>
      <c r="W80" s="5"/>
      <c r="X80" s="28"/>
      <c r="Y80" s="8"/>
      <c r="Z80" s="24"/>
      <c r="AA80" s="11"/>
      <c r="AB80" s="45"/>
      <c r="AC80" s="89"/>
      <c r="AD80" s="44"/>
      <c r="AE80" s="113"/>
      <c r="AF80" s="85"/>
      <c r="AG80" s="44"/>
      <c r="AH80" s="5"/>
      <c r="AI80" s="5"/>
      <c r="AJ80" s="28"/>
      <c r="AK80" s="8"/>
      <c r="AL80" s="11"/>
      <c r="AM80" s="5"/>
      <c r="AN80" s="5"/>
      <c r="AO80" s="8"/>
    </row>
    <row r="81" spans="1:41">
      <c r="A81" s="131"/>
      <c r="B81" s="13" t="s">
        <v>179</v>
      </c>
      <c r="C81" s="91"/>
      <c r="D81" s="17" t="s">
        <v>139</v>
      </c>
      <c r="E81" s="15"/>
      <c r="F81" s="58" t="s">
        <v>210</v>
      </c>
      <c r="G81" s="58" t="s">
        <v>211</v>
      </c>
      <c r="H81" s="100">
        <v>1</v>
      </c>
      <c r="I81" s="24"/>
      <c r="J81" s="5"/>
      <c r="K81" s="8"/>
      <c r="L81" s="24"/>
      <c r="M81" s="5"/>
      <c r="N81" s="5"/>
      <c r="O81" s="5"/>
      <c r="P81" s="8"/>
      <c r="Q81" s="24"/>
      <c r="R81" s="5"/>
      <c r="S81" s="28"/>
      <c r="T81" s="8"/>
      <c r="U81" s="24"/>
      <c r="V81" s="11"/>
      <c r="W81" s="5"/>
      <c r="X81" s="28"/>
      <c r="Y81" s="8"/>
      <c r="Z81" s="24"/>
      <c r="AA81" s="11"/>
      <c r="AB81" s="5"/>
      <c r="AC81" s="28"/>
      <c r="AD81" s="24"/>
      <c r="AE81" s="15"/>
      <c r="AF81" s="8"/>
      <c r="AG81" s="24"/>
      <c r="AH81" s="45"/>
      <c r="AI81" s="45"/>
      <c r="AJ81" s="89"/>
      <c r="AK81" s="85"/>
      <c r="AL81" s="11"/>
      <c r="AM81" s="5"/>
      <c r="AN81" s="5"/>
      <c r="AO81" s="8"/>
    </row>
    <row r="82" spans="1:41">
      <c r="A82" s="131"/>
      <c r="B82" s="13" t="s">
        <v>180</v>
      </c>
      <c r="C82" s="91"/>
      <c r="D82" s="17" t="s">
        <v>190</v>
      </c>
      <c r="E82" s="15"/>
      <c r="F82" s="58" t="s">
        <v>210</v>
      </c>
      <c r="G82" s="58" t="s">
        <v>211</v>
      </c>
      <c r="H82" s="100">
        <v>1</v>
      </c>
      <c r="I82" s="24"/>
      <c r="J82" s="5"/>
      <c r="K82" s="8"/>
      <c r="L82" s="24"/>
      <c r="M82" s="5"/>
      <c r="N82" s="5"/>
      <c r="O82" s="5"/>
      <c r="P82" s="8"/>
      <c r="Q82" s="24"/>
      <c r="R82" s="5"/>
      <c r="S82" s="28"/>
      <c r="T82" s="8"/>
      <c r="U82" s="24"/>
      <c r="V82" s="11"/>
      <c r="W82" s="5"/>
      <c r="X82" s="28"/>
      <c r="Y82" s="8"/>
      <c r="Z82" s="24"/>
      <c r="AA82" s="11"/>
      <c r="AB82" s="5"/>
      <c r="AC82" s="28"/>
      <c r="AD82" s="24"/>
      <c r="AE82" s="15"/>
      <c r="AF82" s="8"/>
      <c r="AG82" s="24"/>
      <c r="AH82" s="45"/>
      <c r="AI82" s="45"/>
      <c r="AJ82" s="89"/>
      <c r="AK82" s="85"/>
      <c r="AL82" s="11"/>
      <c r="AM82" s="5"/>
      <c r="AN82" s="5"/>
      <c r="AO82" s="8"/>
    </row>
    <row r="83" spans="1:41" ht="18" thickBot="1">
      <c r="A83" s="131"/>
      <c r="B83" s="19" t="s">
        <v>182</v>
      </c>
      <c r="C83" s="112" t="s">
        <v>188</v>
      </c>
      <c r="D83" s="21" t="s">
        <v>139</v>
      </c>
      <c r="E83" s="20"/>
      <c r="F83" s="58" t="s">
        <v>210</v>
      </c>
      <c r="G83" s="58" t="s">
        <v>211</v>
      </c>
      <c r="H83" s="103">
        <v>1</v>
      </c>
      <c r="I83" s="51"/>
      <c r="J83" s="52"/>
      <c r="K83" s="53"/>
      <c r="L83" s="51"/>
      <c r="M83" s="52"/>
      <c r="N83" s="52"/>
      <c r="O83" s="52"/>
      <c r="P83" s="53"/>
      <c r="Q83" s="51"/>
      <c r="R83" s="52"/>
      <c r="S83" s="54"/>
      <c r="T83" s="53"/>
      <c r="U83" s="51"/>
      <c r="V83" s="55"/>
      <c r="W83" s="52"/>
      <c r="X83" s="54"/>
      <c r="Y83" s="53"/>
      <c r="Z83" s="51"/>
      <c r="AA83" s="55"/>
      <c r="AB83" s="52"/>
      <c r="AC83" s="54"/>
      <c r="AD83" s="51"/>
      <c r="AE83" s="20"/>
      <c r="AF83" s="53"/>
      <c r="AG83" s="51"/>
      <c r="AH83" s="86"/>
      <c r="AI83" s="86"/>
      <c r="AJ83" s="93"/>
      <c r="AK83" s="94"/>
      <c r="AL83" s="55"/>
      <c r="AM83" s="52"/>
      <c r="AN83" s="52"/>
      <c r="AO83" s="53"/>
    </row>
    <row r="84" spans="1:41">
      <c r="A84" s="131"/>
      <c r="B84" s="48" t="s">
        <v>183</v>
      </c>
      <c r="C84" s="90"/>
      <c r="D84" s="50"/>
      <c r="E84" s="49"/>
      <c r="F84" s="62" t="s">
        <v>202</v>
      </c>
      <c r="G84" s="62" t="s">
        <v>205</v>
      </c>
      <c r="H84" s="104">
        <f>AVERAGE(H85:H88)</f>
        <v>1</v>
      </c>
      <c r="I84" s="23"/>
      <c r="J84" s="6"/>
      <c r="K84" s="7"/>
      <c r="L84" s="23"/>
      <c r="M84" s="6"/>
      <c r="N84" s="6"/>
      <c r="O84" s="6"/>
      <c r="P84" s="7"/>
      <c r="Q84" s="23"/>
      <c r="R84" s="6"/>
      <c r="S84" s="27"/>
      <c r="T84" s="7"/>
      <c r="U84" s="23"/>
      <c r="V84" s="26"/>
      <c r="W84" s="6"/>
      <c r="X84" s="27"/>
      <c r="Y84" s="7"/>
      <c r="Z84" s="23"/>
      <c r="AA84" s="26"/>
      <c r="AB84" s="33"/>
      <c r="AC84" s="37"/>
      <c r="AD84" s="32"/>
      <c r="AE84" s="43"/>
      <c r="AF84" s="34"/>
      <c r="AG84" s="32"/>
      <c r="AH84" s="33"/>
      <c r="AI84" s="33"/>
      <c r="AJ84" s="37"/>
      <c r="AK84" s="34"/>
      <c r="AL84" s="26"/>
      <c r="AM84" s="6"/>
      <c r="AN84" s="6"/>
      <c r="AO84" s="7"/>
    </row>
    <row r="85" spans="1:41">
      <c r="A85" s="131"/>
      <c r="B85" s="19" t="s">
        <v>184</v>
      </c>
      <c r="C85" s="112"/>
      <c r="D85" s="17" t="s">
        <v>191</v>
      </c>
      <c r="E85" s="15"/>
      <c r="F85" s="58" t="s">
        <v>208</v>
      </c>
      <c r="G85" s="58" t="s">
        <v>209</v>
      </c>
      <c r="H85" s="100">
        <v>1</v>
      </c>
      <c r="I85" s="51"/>
      <c r="J85" s="52"/>
      <c r="K85" s="53"/>
      <c r="L85" s="51"/>
      <c r="M85" s="52"/>
      <c r="N85" s="52"/>
      <c r="O85" s="52"/>
      <c r="P85" s="53"/>
      <c r="Q85" s="51"/>
      <c r="R85" s="52"/>
      <c r="S85" s="54"/>
      <c r="T85" s="53"/>
      <c r="U85" s="51"/>
      <c r="V85" s="55"/>
      <c r="W85" s="52"/>
      <c r="X85" s="54"/>
      <c r="Y85" s="53"/>
      <c r="Z85" s="51"/>
      <c r="AA85" s="55"/>
      <c r="AB85" s="86"/>
      <c r="AC85" s="93"/>
      <c r="AD85" s="95"/>
      <c r="AE85" s="116"/>
      <c r="AF85" s="94"/>
      <c r="AG85" s="95"/>
      <c r="AH85" s="52"/>
      <c r="AI85" s="52"/>
      <c r="AJ85" s="54"/>
      <c r="AK85" s="53"/>
      <c r="AL85" s="55"/>
      <c r="AM85" s="52"/>
      <c r="AN85" s="52"/>
      <c r="AO85" s="53"/>
    </row>
    <row r="86" spans="1:41">
      <c r="A86" s="131"/>
      <c r="B86" s="19" t="s">
        <v>185</v>
      </c>
      <c r="C86" s="112"/>
      <c r="D86" s="17" t="s">
        <v>139</v>
      </c>
      <c r="E86" s="15"/>
      <c r="F86" s="58" t="s">
        <v>210</v>
      </c>
      <c r="G86" s="58" t="s">
        <v>211</v>
      </c>
      <c r="H86" s="100">
        <v>1</v>
      </c>
      <c r="I86" s="51"/>
      <c r="J86" s="52"/>
      <c r="K86" s="53"/>
      <c r="L86" s="51"/>
      <c r="M86" s="52"/>
      <c r="N86" s="52"/>
      <c r="O86" s="52"/>
      <c r="P86" s="53"/>
      <c r="Q86" s="51"/>
      <c r="R86" s="52"/>
      <c r="S86" s="54"/>
      <c r="T86" s="53"/>
      <c r="U86" s="51"/>
      <c r="V86" s="55"/>
      <c r="W86" s="52"/>
      <c r="X86" s="54"/>
      <c r="Y86" s="53"/>
      <c r="Z86" s="51"/>
      <c r="AA86" s="55"/>
      <c r="AB86" s="52"/>
      <c r="AC86" s="54"/>
      <c r="AD86" s="51"/>
      <c r="AE86" s="20"/>
      <c r="AF86" s="53"/>
      <c r="AG86" s="51"/>
      <c r="AH86" s="86"/>
      <c r="AI86" s="86"/>
      <c r="AJ86" s="93"/>
      <c r="AK86" s="94"/>
      <c r="AL86" s="55"/>
      <c r="AM86" s="52"/>
      <c r="AN86" s="52"/>
      <c r="AO86" s="53"/>
    </row>
    <row r="87" spans="1:41">
      <c r="A87" s="131"/>
      <c r="B87" s="19" t="s">
        <v>186</v>
      </c>
      <c r="C87" s="112"/>
      <c r="D87" s="17" t="s">
        <v>192</v>
      </c>
      <c r="E87" s="15"/>
      <c r="F87" s="58" t="s">
        <v>210</v>
      </c>
      <c r="G87" s="58" t="s">
        <v>211</v>
      </c>
      <c r="H87" s="100">
        <v>1</v>
      </c>
      <c r="I87" s="51"/>
      <c r="J87" s="52"/>
      <c r="K87" s="53"/>
      <c r="L87" s="51"/>
      <c r="M87" s="52"/>
      <c r="N87" s="52"/>
      <c r="O87" s="52"/>
      <c r="P87" s="53"/>
      <c r="Q87" s="51"/>
      <c r="R87" s="52"/>
      <c r="S87" s="54"/>
      <c r="T87" s="53"/>
      <c r="U87" s="51"/>
      <c r="V87" s="55"/>
      <c r="W87" s="52"/>
      <c r="X87" s="54"/>
      <c r="Y87" s="53"/>
      <c r="Z87" s="51"/>
      <c r="AA87" s="55"/>
      <c r="AB87" s="52"/>
      <c r="AC87" s="54"/>
      <c r="AD87" s="51"/>
      <c r="AE87" s="20"/>
      <c r="AF87" s="53"/>
      <c r="AG87" s="51"/>
      <c r="AH87" s="86"/>
      <c r="AI87" s="86"/>
      <c r="AJ87" s="93"/>
      <c r="AK87" s="94"/>
      <c r="AL87" s="55"/>
      <c r="AM87" s="52"/>
      <c r="AN87" s="52"/>
      <c r="AO87" s="53"/>
    </row>
    <row r="88" spans="1:41" ht="18" thickBot="1">
      <c r="A88" s="131"/>
      <c r="B88" s="14" t="s">
        <v>187</v>
      </c>
      <c r="C88" s="92" t="s">
        <v>162</v>
      </c>
      <c r="D88" s="17" t="s">
        <v>18</v>
      </c>
      <c r="E88" s="15"/>
      <c r="F88" s="58" t="s">
        <v>210</v>
      </c>
      <c r="G88" s="58" t="s">
        <v>211</v>
      </c>
      <c r="H88" s="100">
        <v>1</v>
      </c>
      <c r="I88" s="25"/>
      <c r="J88" s="9"/>
      <c r="K88" s="10"/>
      <c r="L88" s="25"/>
      <c r="M88" s="9"/>
      <c r="N88" s="9"/>
      <c r="O88" s="9"/>
      <c r="P88" s="10"/>
      <c r="Q88" s="25"/>
      <c r="R88" s="9"/>
      <c r="S88" s="29"/>
      <c r="T88" s="10"/>
      <c r="U88" s="25"/>
      <c r="V88" s="12"/>
      <c r="W88" s="9"/>
      <c r="X88" s="29"/>
      <c r="Y88" s="10"/>
      <c r="Z88" s="25"/>
      <c r="AA88" s="12"/>
      <c r="AB88" s="9"/>
      <c r="AC88" s="29"/>
      <c r="AD88" s="25"/>
      <c r="AE88" s="16"/>
      <c r="AF88" s="10"/>
      <c r="AG88" s="25"/>
      <c r="AH88" s="47"/>
      <c r="AI88" s="47"/>
      <c r="AJ88" s="114"/>
      <c r="AK88" s="115"/>
      <c r="AL88" s="12"/>
      <c r="AM88" s="9"/>
      <c r="AN88" s="9"/>
      <c r="AO88" s="10"/>
    </row>
    <row r="89" spans="1:41">
      <c r="A89" s="128" t="s">
        <v>15</v>
      </c>
      <c r="B89" s="48" t="s">
        <v>21</v>
      </c>
      <c r="C89" s="49" t="s">
        <v>22</v>
      </c>
      <c r="D89" s="50" t="s">
        <v>18</v>
      </c>
      <c r="E89" s="49"/>
      <c r="F89" s="62" t="s">
        <v>199</v>
      </c>
      <c r="G89" s="62" t="s">
        <v>200</v>
      </c>
      <c r="H89" s="104">
        <v>1</v>
      </c>
      <c r="I89" s="23"/>
      <c r="J89" s="6"/>
      <c r="K89" s="6"/>
      <c r="L89" s="23"/>
      <c r="M89" s="6"/>
      <c r="N89" s="6"/>
      <c r="O89" s="6"/>
      <c r="P89" s="7"/>
      <c r="Q89" s="23"/>
      <c r="R89" s="6"/>
      <c r="S89" s="27"/>
      <c r="T89" s="7"/>
      <c r="U89" s="23"/>
      <c r="V89" s="26"/>
      <c r="W89" s="6"/>
      <c r="X89" s="27"/>
      <c r="Y89" s="7"/>
      <c r="Z89" s="23"/>
      <c r="AA89" s="96"/>
      <c r="AB89" s="33"/>
      <c r="AC89" s="37"/>
      <c r="AD89" s="32"/>
      <c r="AE89" s="43"/>
      <c r="AF89" s="7"/>
      <c r="AG89" s="23"/>
      <c r="AH89" s="6"/>
      <c r="AI89" s="6"/>
      <c r="AJ89" s="27"/>
      <c r="AK89" s="7"/>
      <c r="AL89" s="26"/>
      <c r="AM89" s="6"/>
      <c r="AN89" s="6"/>
      <c r="AO89" s="7"/>
    </row>
    <row r="90" spans="1:41" ht="18" thickBot="1">
      <c r="A90" s="129"/>
      <c r="B90" s="64" t="s">
        <v>198</v>
      </c>
      <c r="C90" s="65" t="s">
        <v>197</v>
      </c>
      <c r="D90" s="66" t="s">
        <v>18</v>
      </c>
      <c r="E90" s="65"/>
      <c r="F90" s="67" t="s">
        <v>74</v>
      </c>
      <c r="G90" s="67" t="s">
        <v>196</v>
      </c>
      <c r="H90" s="107">
        <v>1</v>
      </c>
      <c r="I90" s="25"/>
      <c r="J90" s="9"/>
      <c r="K90" s="9"/>
      <c r="L90" s="25"/>
      <c r="M90" s="9"/>
      <c r="N90" s="9"/>
      <c r="O90" s="9"/>
      <c r="P90" s="10"/>
      <c r="Q90" s="25"/>
      <c r="R90" s="9"/>
      <c r="S90" s="29"/>
      <c r="T90" s="10"/>
      <c r="U90" s="25"/>
      <c r="V90" s="12"/>
      <c r="W90" s="9"/>
      <c r="X90" s="29"/>
      <c r="Y90" s="10"/>
      <c r="Z90" s="25"/>
      <c r="AA90" s="12"/>
      <c r="AB90" s="9"/>
      <c r="AC90" s="29"/>
      <c r="AD90" s="25"/>
      <c r="AE90" s="16"/>
      <c r="AF90" s="10"/>
      <c r="AG90" s="25"/>
      <c r="AH90" s="9"/>
      <c r="AI90" s="9"/>
      <c r="AJ90" s="108"/>
      <c r="AK90" s="88"/>
      <c r="AL90" s="35"/>
      <c r="AM90" s="36"/>
      <c r="AN90" s="36"/>
      <c r="AO90" s="10"/>
    </row>
    <row r="91" spans="1:41">
      <c r="B91" s="4"/>
    </row>
    <row r="92" spans="1:41">
      <c r="B92" s="4"/>
    </row>
    <row r="93" spans="1:41">
      <c r="B93" s="4"/>
    </row>
    <row r="94" spans="1:41">
      <c r="B94" s="4"/>
    </row>
    <row r="95" spans="1:41">
      <c r="B95" s="4"/>
    </row>
    <row r="96" spans="1:41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  <row r="121" spans="2:2">
      <c r="B121" s="4"/>
    </row>
    <row r="122" spans="2:2">
      <c r="B122" s="4"/>
    </row>
    <row r="123" spans="2:2">
      <c r="B123" s="4"/>
    </row>
    <row r="124" spans="2:2">
      <c r="B124" s="4"/>
    </row>
    <row r="125" spans="2:2">
      <c r="B125" s="4"/>
    </row>
    <row r="126" spans="2:2">
      <c r="B126" s="4"/>
    </row>
    <row r="127" spans="2:2">
      <c r="B127" s="4"/>
    </row>
    <row r="128" spans="2:2">
      <c r="B128" s="4"/>
    </row>
    <row r="129" spans="2:2">
      <c r="B129" s="4"/>
    </row>
    <row r="130" spans="2:2">
      <c r="B130" s="4"/>
    </row>
    <row r="131" spans="2:2">
      <c r="B131" s="4"/>
    </row>
    <row r="132" spans="2:2">
      <c r="B132" s="4"/>
    </row>
    <row r="133" spans="2:2">
      <c r="B133" s="4"/>
    </row>
    <row r="134" spans="2:2">
      <c r="B134" s="4"/>
    </row>
    <row r="135" spans="2:2">
      <c r="B135" s="4"/>
    </row>
    <row r="136" spans="2:2">
      <c r="B136" s="4"/>
    </row>
    <row r="137" spans="2:2">
      <c r="B137" s="4"/>
    </row>
    <row r="138" spans="2:2">
      <c r="B138" s="4"/>
    </row>
    <row r="139" spans="2:2">
      <c r="B139" s="4"/>
    </row>
    <row r="140" spans="2:2">
      <c r="B140" s="4"/>
    </row>
    <row r="141" spans="2:2">
      <c r="B141" s="4"/>
    </row>
    <row r="142" spans="2:2">
      <c r="B142" s="4"/>
    </row>
    <row r="143" spans="2:2">
      <c r="B143" s="4"/>
    </row>
    <row r="144" spans="2:2">
      <c r="B144" s="4"/>
    </row>
    <row r="145" spans="2:2">
      <c r="B145" s="4"/>
    </row>
    <row r="146" spans="2:2">
      <c r="B146" s="4"/>
    </row>
    <row r="147" spans="2:2">
      <c r="B147" s="4"/>
    </row>
    <row r="148" spans="2:2">
      <c r="B148" s="4"/>
    </row>
    <row r="149" spans="2:2">
      <c r="B149" s="4"/>
    </row>
    <row r="150" spans="2:2">
      <c r="B150" s="4"/>
    </row>
    <row r="151" spans="2:2">
      <c r="B151" s="4"/>
    </row>
    <row r="152" spans="2:2">
      <c r="B152" s="4"/>
    </row>
    <row r="153" spans="2:2">
      <c r="B153" s="4"/>
    </row>
    <row r="154" spans="2:2">
      <c r="B154" s="4"/>
    </row>
    <row r="155" spans="2:2">
      <c r="B155" s="4"/>
    </row>
    <row r="156" spans="2:2">
      <c r="B156" s="4"/>
    </row>
    <row r="157" spans="2:2">
      <c r="B157" s="4"/>
    </row>
    <row r="158" spans="2:2">
      <c r="B158" s="4"/>
    </row>
    <row r="159" spans="2:2">
      <c r="B159" s="4"/>
    </row>
    <row r="160" spans="2:2">
      <c r="B160" s="4"/>
    </row>
    <row r="161" spans="2:2">
      <c r="B161" s="4"/>
    </row>
    <row r="162" spans="2:2">
      <c r="B162" s="4"/>
    </row>
    <row r="163" spans="2:2">
      <c r="B163" s="4"/>
    </row>
    <row r="164" spans="2:2">
      <c r="B164" s="4"/>
    </row>
    <row r="165" spans="2:2">
      <c r="B165" s="4"/>
    </row>
    <row r="166" spans="2:2">
      <c r="B166" s="4"/>
    </row>
    <row r="167" spans="2:2">
      <c r="B167" s="4"/>
    </row>
    <row r="168" spans="2:2">
      <c r="B168" s="4"/>
    </row>
    <row r="169" spans="2:2">
      <c r="B169" s="4"/>
    </row>
    <row r="170" spans="2:2">
      <c r="B170" s="4"/>
    </row>
    <row r="171" spans="2:2">
      <c r="B171" s="4"/>
    </row>
    <row r="172" spans="2:2">
      <c r="B172" s="4"/>
    </row>
    <row r="173" spans="2:2">
      <c r="B173" s="4"/>
    </row>
    <row r="174" spans="2:2">
      <c r="B174" s="4"/>
    </row>
    <row r="175" spans="2:2">
      <c r="B175" s="4"/>
    </row>
    <row r="176" spans="2:2">
      <c r="B176" s="4"/>
    </row>
    <row r="177" spans="2:2">
      <c r="B177" s="4"/>
    </row>
    <row r="178" spans="2:2">
      <c r="B178" s="4"/>
    </row>
    <row r="179" spans="2:2">
      <c r="B179" s="4"/>
    </row>
    <row r="180" spans="2:2">
      <c r="B180" s="4"/>
    </row>
    <row r="181" spans="2:2">
      <c r="B181" s="4"/>
    </row>
    <row r="182" spans="2:2">
      <c r="B182" s="4"/>
    </row>
    <row r="183" spans="2:2">
      <c r="B183" s="4"/>
    </row>
    <row r="184" spans="2:2">
      <c r="B184" s="4"/>
    </row>
    <row r="185" spans="2:2">
      <c r="B185" s="4"/>
    </row>
    <row r="186" spans="2:2">
      <c r="B186" s="4"/>
    </row>
    <row r="187" spans="2:2">
      <c r="B187" s="4"/>
    </row>
    <row r="188" spans="2:2">
      <c r="B188" s="4"/>
    </row>
    <row r="189" spans="2:2">
      <c r="B189" s="4"/>
    </row>
    <row r="190" spans="2:2">
      <c r="B190" s="4"/>
    </row>
    <row r="191" spans="2:2">
      <c r="B191" s="4"/>
    </row>
    <row r="192" spans="2:2">
      <c r="B192" s="4"/>
    </row>
    <row r="193" spans="2:2">
      <c r="B193" s="4"/>
    </row>
    <row r="194" spans="2:2">
      <c r="B194" s="4"/>
    </row>
    <row r="195" spans="2:2">
      <c r="B195" s="4"/>
    </row>
    <row r="196" spans="2:2">
      <c r="B196" s="4"/>
    </row>
    <row r="197" spans="2:2">
      <c r="B197" s="4"/>
    </row>
    <row r="198" spans="2:2">
      <c r="B198" s="4"/>
    </row>
    <row r="199" spans="2:2">
      <c r="B199" s="4"/>
    </row>
    <row r="200" spans="2:2">
      <c r="B200" s="4"/>
    </row>
    <row r="201" spans="2:2">
      <c r="B201" s="4"/>
    </row>
    <row r="202" spans="2:2">
      <c r="B202" s="4"/>
    </row>
    <row r="203" spans="2:2">
      <c r="B203" s="4"/>
    </row>
    <row r="204" spans="2:2">
      <c r="B204" s="4"/>
    </row>
    <row r="205" spans="2:2">
      <c r="B205" s="4"/>
    </row>
    <row r="206" spans="2:2">
      <c r="B206" s="4"/>
    </row>
    <row r="207" spans="2:2">
      <c r="B207" s="4"/>
    </row>
    <row r="208" spans="2:2">
      <c r="B208" s="4"/>
    </row>
    <row r="209" spans="2:2">
      <c r="B209" s="4"/>
    </row>
    <row r="210" spans="2:2">
      <c r="B210" s="4"/>
    </row>
    <row r="211" spans="2:2">
      <c r="B211" s="4"/>
    </row>
    <row r="212" spans="2:2">
      <c r="B212" s="4"/>
    </row>
  </sheetData>
  <mergeCells count="50">
    <mergeCell ref="A1:H1"/>
    <mergeCell ref="F5:H5"/>
    <mergeCell ref="F6:H6"/>
    <mergeCell ref="F7:H7"/>
    <mergeCell ref="F8:H8"/>
    <mergeCell ref="C3:D4"/>
    <mergeCell ref="C5:D5"/>
    <mergeCell ref="C6:D6"/>
    <mergeCell ref="C7:D7"/>
    <mergeCell ref="C8:D8"/>
    <mergeCell ref="F3:H4"/>
    <mergeCell ref="I3:AO3"/>
    <mergeCell ref="A5:A11"/>
    <mergeCell ref="D13:D15"/>
    <mergeCell ref="A3:A4"/>
    <mergeCell ref="B3:B4"/>
    <mergeCell ref="E3:E4"/>
    <mergeCell ref="AL4:AO4"/>
    <mergeCell ref="I4:K4"/>
    <mergeCell ref="L4:P4"/>
    <mergeCell ref="Q4:T4"/>
    <mergeCell ref="U4:Y4"/>
    <mergeCell ref="Z4:AC4"/>
    <mergeCell ref="AD4:AF4"/>
    <mergeCell ref="AG4:AK4"/>
    <mergeCell ref="F10:H10"/>
    <mergeCell ref="F11:H11"/>
    <mergeCell ref="Q15:T15"/>
    <mergeCell ref="L15:P15"/>
    <mergeCell ref="I15:K15"/>
    <mergeCell ref="E13:E15"/>
    <mergeCell ref="A27:A61"/>
    <mergeCell ref="A16:A26"/>
    <mergeCell ref="A13:A15"/>
    <mergeCell ref="B13:B15"/>
    <mergeCell ref="C13:C15"/>
    <mergeCell ref="I13:AO13"/>
    <mergeCell ref="AL15:AO15"/>
    <mergeCell ref="AG15:AK15"/>
    <mergeCell ref="AD15:AF15"/>
    <mergeCell ref="Z15:AC15"/>
    <mergeCell ref="U15:Y15"/>
    <mergeCell ref="H13:H15"/>
    <mergeCell ref="B11:E11"/>
    <mergeCell ref="A89:A90"/>
    <mergeCell ref="A62:A88"/>
    <mergeCell ref="F9:H9"/>
    <mergeCell ref="C9:D9"/>
    <mergeCell ref="C10:D10"/>
    <mergeCell ref="F13:G14"/>
  </mergeCells>
  <phoneticPr fontId="1" type="noConversion"/>
  <pageMargins left="0.7" right="0.7" top="0.75" bottom="0.75" header="0.3" footer="0.3"/>
  <pageSetup paperSize="9" orientation="portrait" horizontalDpi="4294967292" r:id="rId1"/>
  <ignoredErrors>
    <ignoredError sqref="H16 H84 H7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표지</vt:lpstr>
      <vt:lpstr>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탁균 이</cp:lastModifiedBy>
  <dcterms:created xsi:type="dcterms:W3CDTF">2022-12-20T03:53:02Z</dcterms:created>
  <dcterms:modified xsi:type="dcterms:W3CDTF">2025-07-21T07:22:49Z</dcterms:modified>
</cp:coreProperties>
</file>